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defaultThemeVersion="124226"/>
  <xr:revisionPtr revIDLastSave="0" documentId="13_ncr:1_{AF116D84-7344-4C17-B702-28EEC7F7FD0B}" xr6:coauthVersionLast="45" xr6:coauthVersionMax="45" xr10:uidLastSave="{00000000-0000-0000-0000-000000000000}"/>
  <bookViews>
    <workbookView xWindow="-108" yWindow="-108" windowWidth="23256" windowHeight="12576" tabRatio="671" activeTab="1" xr2:uid="{00000000-000D-0000-FFFF-FFFF00000000}"/>
  </bookViews>
  <sheets>
    <sheet name="總彙整-A3" sheetId="11" r:id="rId1"/>
    <sheet name="總彙整-A4" sheetId="12" r:id="rId2"/>
    <sheet name="鍾仁-頂番婆" sheetId="10" r:id="rId3"/>
    <sheet name="鍾春" sheetId="9" r:id="rId4"/>
    <sheet name="1鐘吉" sheetId="2" r:id="rId5"/>
    <sheet name="鐘心婦-1" sheetId="4" r:id="rId6"/>
    <sheet name="鐘心婦-2" sheetId="5" r:id="rId7"/>
    <sheet name="2鐘仁德" sheetId="3" r:id="rId8"/>
    <sheet name="鐘成嘉" sheetId="6" r:id="rId9"/>
    <sheet name="鐘義" sheetId="7" r:id="rId10"/>
    <sheet name="鐘禮" sheetId="8" r:id="rId11"/>
    <sheet name="年代換算" sheetId="13" r:id="rId12"/>
  </sheets>
  <definedNames>
    <definedName name="_xlnm.Print_Area" localSheetId="4">'1鐘吉'!$A$1:$BB$47</definedName>
    <definedName name="_xlnm.Print_Area" localSheetId="7">'2鐘仁德'!$B$1:$BU$42</definedName>
    <definedName name="_xlnm.Print_Area" localSheetId="11">年代換算!$A$1:$U$44</definedName>
    <definedName name="_xlnm.Print_Area" localSheetId="0">'總彙整-A3'!$A$1:$FU$55</definedName>
    <definedName name="_xlnm.Print_Area" localSheetId="1">'總彙整-A4'!$A$1:$FU$55</definedName>
    <definedName name="_xlnm.Print_Area" localSheetId="2">'鍾仁-頂番婆'!$O$1:$AG$41</definedName>
    <definedName name="_xlnm.Print_Area" localSheetId="3">鍾春!$E$1:$AR$36</definedName>
    <definedName name="_xlnm.Print_Area" localSheetId="5">'鐘心婦-1'!$H$1:$AL$27</definedName>
    <definedName name="_xlnm.Print_Area" localSheetId="6">'鐘心婦-2'!$B$1:$BB$26</definedName>
    <definedName name="_xlnm.Print_Area" localSheetId="8">鐘成嘉!$B$1:$AY$27</definedName>
    <definedName name="_xlnm.Print_Area" localSheetId="9">鐘義!$A$1:$AK$27</definedName>
    <definedName name="_xlnm.Print_Area" localSheetId="10">鐘禮!$B$1:$AO$26</definedName>
  </definedNames>
  <calcPr calcId="18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9" i="5" l="1"/>
  <c r="AL14" i="5"/>
  <c r="L14" i="5"/>
  <c r="A14" i="5"/>
  <c r="AB25" i="6"/>
  <c r="AG25" i="6"/>
  <c r="S40" i="13" l="1"/>
  <c r="S39" i="13"/>
  <c r="S37" i="13"/>
  <c r="S36" i="13"/>
  <c r="S35" i="13"/>
  <c r="T33" i="13"/>
  <c r="S33" i="13"/>
  <c r="G31" i="13"/>
  <c r="F31" i="13"/>
  <c r="T30" i="13"/>
  <c r="S30" i="13"/>
  <c r="G30" i="13"/>
  <c r="F30" i="13"/>
  <c r="T27" i="13"/>
  <c r="S27" i="13"/>
  <c r="G27" i="13"/>
  <c r="F27" i="13"/>
  <c r="L25" i="13"/>
  <c r="L24" i="13"/>
  <c r="F24" i="13"/>
  <c r="S23" i="13"/>
  <c r="L23" i="13"/>
  <c r="G23" i="13"/>
  <c r="F23" i="13"/>
  <c r="F20" i="13"/>
  <c r="G18" i="13"/>
  <c r="F18" i="13"/>
  <c r="G16" i="13"/>
  <c r="F16" i="13"/>
  <c r="L14" i="13"/>
  <c r="G14" i="13"/>
  <c r="F14" i="13"/>
  <c r="F12" i="13"/>
  <c r="L11" i="13"/>
  <c r="G11" i="13"/>
  <c r="F11" i="13"/>
  <c r="F8" i="13"/>
  <c r="O43" i="12"/>
  <c r="J43" i="12"/>
  <c r="FH40" i="12"/>
  <c r="FD40" i="12"/>
  <c r="EZ40" i="12"/>
  <c r="ES40" i="12"/>
  <c r="EO40" i="12"/>
  <c r="FQ38" i="12"/>
  <c r="FL38" i="12"/>
  <c r="FH38" i="12"/>
  <c r="FD38" i="12"/>
  <c r="EZ38" i="12"/>
  <c r="ES38" i="12"/>
  <c r="O38" i="12"/>
  <c r="J38" i="12"/>
  <c r="FH40" i="11"/>
  <c r="FD40" i="11"/>
  <c r="EZ40" i="11"/>
  <c r="ES40" i="11"/>
  <c r="EO40" i="11"/>
  <c r="FQ38" i="11"/>
  <c r="FL38" i="11"/>
  <c r="FH38" i="11"/>
  <c r="FD38" i="11"/>
  <c r="EZ38" i="11"/>
  <c r="ES38" i="11"/>
  <c r="J43" i="11" l="1"/>
  <c r="O43" i="11"/>
  <c r="J38" i="11"/>
  <c r="O38" i="11"/>
  <c r="U35" i="10"/>
  <c r="Z35" i="10"/>
  <c r="U31" i="10"/>
  <c r="Z31" i="10"/>
  <c r="AA22" i="9" l="1"/>
  <c r="W22" i="9"/>
  <c r="S22" i="9"/>
  <c r="L22" i="9"/>
  <c r="H22" i="9"/>
  <c r="AJ20" i="9"/>
  <c r="AE20" i="9"/>
  <c r="AA20" i="9"/>
  <c r="W20" i="9"/>
  <c r="S20" i="9"/>
  <c r="L2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14" authorId="0" shapeId="0" xr:uid="{00000000-0006-0000-0B00-00000100000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假設值</t>
        </r>
      </text>
    </comment>
  </commentList>
</comments>
</file>

<file path=xl/sharedStrings.xml><?xml version="1.0" encoding="utf-8"?>
<sst xmlns="http://schemas.openxmlformats.org/spreadsheetml/2006/main" count="2551" uniqueCount="448">
  <si>
    <t>郭</t>
    <phoneticPr fontId="7"/>
  </si>
  <si>
    <t>鐘</t>
    <phoneticPr fontId="7"/>
  </si>
  <si>
    <t>一</t>
    <phoneticPr fontId="7"/>
  </si>
  <si>
    <t>代</t>
    <phoneticPr fontId="7"/>
  </si>
  <si>
    <t>　|</t>
    <phoneticPr fontId="7"/>
  </si>
  <si>
    <t>惜</t>
    <phoneticPr fontId="7"/>
  </si>
  <si>
    <t>品</t>
    <phoneticPr fontId="7"/>
  </si>
  <si>
    <t>梁</t>
    <phoneticPr fontId="7"/>
  </si>
  <si>
    <t>二</t>
    <phoneticPr fontId="7"/>
  </si>
  <si>
    <t>哂</t>
    <phoneticPr fontId="7"/>
  </si>
  <si>
    <t>吉</t>
    <phoneticPr fontId="7"/>
  </si>
  <si>
    <t>張</t>
    <phoneticPr fontId="7"/>
  </si>
  <si>
    <t>三</t>
    <phoneticPr fontId="7"/>
  </si>
  <si>
    <t>瑞</t>
    <phoneticPr fontId="7"/>
  </si>
  <si>
    <t>心</t>
    <phoneticPr fontId="7"/>
  </si>
  <si>
    <t>源</t>
    <phoneticPr fontId="7"/>
  </si>
  <si>
    <t>卜</t>
    <phoneticPr fontId="7"/>
  </si>
  <si>
    <t>婦</t>
    <phoneticPr fontId="7"/>
  </si>
  <si>
    <t>四</t>
    <phoneticPr fontId="7"/>
  </si>
  <si>
    <t>知</t>
    <phoneticPr fontId="7"/>
  </si>
  <si>
    <t>氏</t>
    <phoneticPr fontId="7"/>
  </si>
  <si>
    <t>陳</t>
    <phoneticPr fontId="7"/>
  </si>
  <si>
    <t>水</t>
    <phoneticPr fontId="7"/>
  </si>
  <si>
    <t>添</t>
    <phoneticPr fontId="7"/>
  </si>
  <si>
    <t>州</t>
    <phoneticPr fontId="7"/>
  </si>
  <si>
    <t>爾</t>
    <phoneticPr fontId="7"/>
  </si>
  <si>
    <t>川</t>
    <phoneticPr fontId="7"/>
  </si>
  <si>
    <t>好</t>
    <phoneticPr fontId="7"/>
  </si>
  <si>
    <t>漸</t>
    <phoneticPr fontId="7"/>
  </si>
  <si>
    <t>樹</t>
    <phoneticPr fontId="7"/>
  </si>
  <si>
    <t>獺</t>
    <phoneticPr fontId="7"/>
  </si>
  <si>
    <t>琴</t>
    <phoneticPr fontId="7"/>
  </si>
  <si>
    <t>丁</t>
    <phoneticPr fontId="7"/>
  </si>
  <si>
    <t>※</t>
    <phoneticPr fontId="7"/>
  </si>
  <si>
    <t>菊</t>
    <phoneticPr fontId="7"/>
  </si>
  <si>
    <t>移</t>
    <phoneticPr fontId="7"/>
  </si>
  <si>
    <t>居</t>
    <phoneticPr fontId="7"/>
  </si>
  <si>
    <t>五</t>
    <phoneticPr fontId="7"/>
  </si>
  <si>
    <t>日</t>
    <phoneticPr fontId="7"/>
  </si>
  <si>
    <t>健</t>
    <phoneticPr fontId="7"/>
  </si>
  <si>
    <t>政</t>
    <phoneticPr fontId="7"/>
  </si>
  <si>
    <t>國</t>
    <phoneticPr fontId="7"/>
  </si>
  <si>
    <t>廣</t>
    <phoneticPr fontId="7"/>
  </si>
  <si>
    <t>生</t>
    <phoneticPr fontId="7"/>
  </si>
  <si>
    <t>哲</t>
    <phoneticPr fontId="7"/>
  </si>
  <si>
    <t>聰</t>
    <phoneticPr fontId="7"/>
  </si>
  <si>
    <t>志</t>
    <phoneticPr fontId="7"/>
  </si>
  <si>
    <t>恒</t>
    <phoneticPr fontId="7"/>
  </si>
  <si>
    <t>茂</t>
    <phoneticPr fontId="7"/>
  </si>
  <si>
    <t>燦</t>
    <phoneticPr fontId="7"/>
  </si>
  <si>
    <t>振</t>
    <phoneticPr fontId="7"/>
  </si>
  <si>
    <t>松</t>
    <phoneticPr fontId="7"/>
  </si>
  <si>
    <t>本</t>
    <phoneticPr fontId="7"/>
  </si>
  <si>
    <t>暉</t>
    <phoneticPr fontId="7"/>
  </si>
  <si>
    <t>益</t>
    <phoneticPr fontId="7"/>
  </si>
  <si>
    <t>光</t>
    <phoneticPr fontId="7"/>
  </si>
  <si>
    <t>盛</t>
    <phoneticPr fontId="7"/>
  </si>
  <si>
    <t>財</t>
    <phoneticPr fontId="7"/>
  </si>
  <si>
    <t>雄</t>
    <phoneticPr fontId="7"/>
  </si>
  <si>
    <t>信</t>
    <phoneticPr fontId="7"/>
  </si>
  <si>
    <t>誠</t>
    <phoneticPr fontId="7"/>
  </si>
  <si>
    <t>堅</t>
    <phoneticPr fontId="7"/>
  </si>
  <si>
    <t>卿</t>
    <phoneticPr fontId="7"/>
  </si>
  <si>
    <t>修</t>
    <phoneticPr fontId="7"/>
  </si>
  <si>
    <t>六</t>
    <phoneticPr fontId="7"/>
  </si>
  <si>
    <t>懷</t>
    <phoneticPr fontId="7"/>
  </si>
  <si>
    <t>承</t>
    <phoneticPr fontId="7"/>
  </si>
  <si>
    <t>和</t>
    <phoneticPr fontId="7"/>
  </si>
  <si>
    <t>格</t>
    <phoneticPr fontId="7"/>
  </si>
  <si>
    <t>明</t>
    <phoneticPr fontId="7"/>
  </si>
  <si>
    <t>元</t>
    <phoneticPr fontId="7"/>
  </si>
  <si>
    <t>培</t>
    <phoneticPr fontId="7"/>
  </si>
  <si>
    <t>盈</t>
    <phoneticPr fontId="7"/>
  </si>
  <si>
    <t>永</t>
    <phoneticPr fontId="7"/>
  </si>
  <si>
    <t>基</t>
    <phoneticPr fontId="7"/>
  </si>
  <si>
    <t>耀</t>
    <phoneticPr fontId="7"/>
  </si>
  <si>
    <t>文</t>
    <phoneticPr fontId="7"/>
  </si>
  <si>
    <t>寬</t>
    <phoneticPr fontId="7"/>
  </si>
  <si>
    <t>芳</t>
    <phoneticPr fontId="7"/>
  </si>
  <si>
    <t>潔</t>
    <phoneticPr fontId="7"/>
  </si>
  <si>
    <t>瑜</t>
    <phoneticPr fontId="7"/>
  </si>
  <si>
    <t>維</t>
    <phoneticPr fontId="7"/>
  </si>
  <si>
    <t>享</t>
    <phoneticPr fontId="7"/>
  </si>
  <si>
    <t>甫</t>
    <phoneticPr fontId="7"/>
  </si>
  <si>
    <t>鴻</t>
    <phoneticPr fontId="7"/>
  </si>
  <si>
    <t>發</t>
    <phoneticPr fontId="7"/>
  </si>
  <si>
    <t>麟</t>
    <phoneticPr fontId="7"/>
  </si>
  <si>
    <t>進</t>
    <phoneticPr fontId="7"/>
  </si>
  <si>
    <t>導</t>
    <phoneticPr fontId="7"/>
  </si>
  <si>
    <t>啟</t>
    <phoneticPr fontId="7"/>
  </si>
  <si>
    <t>立</t>
    <phoneticPr fontId="7"/>
  </si>
  <si>
    <t>南</t>
    <phoneticPr fontId="7"/>
  </si>
  <si>
    <t>彬</t>
    <phoneticPr fontId="7"/>
  </si>
  <si>
    <t>七</t>
    <phoneticPr fontId="7"/>
  </si>
  <si>
    <t>引</t>
    <phoneticPr fontId="7"/>
  </si>
  <si>
    <t>俊</t>
    <phoneticPr fontId="7"/>
  </si>
  <si>
    <t>禾</t>
    <phoneticPr fontId="7"/>
  </si>
  <si>
    <t>韋</t>
    <phoneticPr fontId="7"/>
  </si>
  <si>
    <t>得</t>
    <phoneticPr fontId="7"/>
  </si>
  <si>
    <t>延</t>
    <phoneticPr fontId="7"/>
  </si>
  <si>
    <t>敏</t>
    <phoneticPr fontId="7"/>
  </si>
  <si>
    <t>驊</t>
    <phoneticPr fontId="7"/>
  </si>
  <si>
    <t>擎</t>
    <phoneticPr fontId="7"/>
  </si>
  <si>
    <t>澤</t>
    <phoneticPr fontId="7"/>
  </si>
  <si>
    <t>家</t>
    <phoneticPr fontId="7"/>
  </si>
  <si>
    <t>程</t>
    <phoneticPr fontId="7"/>
  </si>
  <si>
    <t>傑</t>
    <phoneticPr fontId="7"/>
  </si>
  <si>
    <t>綱</t>
    <phoneticPr fontId="7"/>
  </si>
  <si>
    <t>群</t>
    <phoneticPr fontId="7"/>
  </si>
  <si>
    <t>豪</t>
    <phoneticPr fontId="7"/>
  </si>
  <si>
    <t>許</t>
    <phoneticPr fontId="7"/>
  </si>
  <si>
    <t>仁</t>
    <phoneticPr fontId="7"/>
  </si>
  <si>
    <t>密</t>
    <phoneticPr fontId="7"/>
  </si>
  <si>
    <t>德</t>
    <phoneticPr fontId="7"/>
  </si>
  <si>
    <t>林</t>
    <phoneticPr fontId="7"/>
  </si>
  <si>
    <t>玉</t>
    <phoneticPr fontId="7"/>
  </si>
  <si>
    <t>雲</t>
    <phoneticPr fontId="7"/>
  </si>
  <si>
    <t>成</t>
    <phoneticPr fontId="7"/>
  </si>
  <si>
    <t>咸</t>
    <phoneticPr fontId="7"/>
  </si>
  <si>
    <t>禮</t>
    <phoneticPr fontId="7"/>
  </si>
  <si>
    <t>娥</t>
    <phoneticPr fontId="7"/>
  </si>
  <si>
    <t>義</t>
    <phoneticPr fontId="7"/>
  </si>
  <si>
    <t>嬌</t>
    <phoneticPr fontId="7"/>
  </si>
  <si>
    <t>嘉</t>
    <phoneticPr fontId="7"/>
  </si>
  <si>
    <t>如</t>
    <phoneticPr fontId="7"/>
  </si>
  <si>
    <t>重</t>
    <phoneticPr fontId="7"/>
  </si>
  <si>
    <t>友</t>
    <phoneticPr fontId="7"/>
  </si>
  <si>
    <t>昱</t>
    <phoneticPr fontId="7"/>
  </si>
  <si>
    <t>獻</t>
    <phoneticPr fontId="7"/>
  </si>
  <si>
    <t>正</t>
    <phoneticPr fontId="7"/>
  </si>
  <si>
    <t>建</t>
    <phoneticPr fontId="7"/>
  </si>
  <si>
    <t>朝</t>
    <phoneticPr fontId="7"/>
  </si>
  <si>
    <t>雅</t>
    <phoneticPr fontId="7"/>
  </si>
  <si>
    <t>純</t>
    <phoneticPr fontId="7"/>
  </si>
  <si>
    <t>音</t>
    <phoneticPr fontId="7"/>
  </si>
  <si>
    <t>聯</t>
    <phoneticPr fontId="7"/>
  </si>
  <si>
    <t>男</t>
    <phoneticPr fontId="7"/>
  </si>
  <si>
    <t>鳴</t>
    <phoneticPr fontId="7"/>
  </si>
  <si>
    <t>行</t>
    <phoneticPr fontId="7"/>
  </si>
  <si>
    <t>庭</t>
    <phoneticPr fontId="7"/>
  </si>
  <si>
    <t>隆</t>
    <phoneticPr fontId="7"/>
  </si>
  <si>
    <t>鉉</t>
    <phoneticPr fontId="7"/>
  </si>
  <si>
    <t>鵬</t>
    <phoneticPr fontId="7"/>
  </si>
  <si>
    <t>學</t>
    <phoneticPr fontId="7"/>
  </si>
  <si>
    <t>上</t>
    <phoneticPr fontId="7"/>
  </si>
  <si>
    <t>埕</t>
    <phoneticPr fontId="7"/>
  </si>
  <si>
    <t>炭</t>
    <phoneticPr fontId="7"/>
  </si>
  <si>
    <t>方</t>
    <phoneticPr fontId="7"/>
  </si>
  <si>
    <t>柏</t>
    <phoneticPr fontId="7"/>
  </si>
  <si>
    <t>櫂</t>
    <phoneticPr fontId="7"/>
  </si>
  <si>
    <t>偉</t>
    <phoneticPr fontId="7"/>
  </si>
  <si>
    <t>頂</t>
    <phoneticPr fontId="7"/>
  </si>
  <si>
    <t>士</t>
    <phoneticPr fontId="7"/>
  </si>
  <si>
    <t>博</t>
    <phoneticPr fontId="7"/>
  </si>
  <si>
    <t>楷</t>
    <phoneticPr fontId="7"/>
  </si>
  <si>
    <t>煥</t>
    <phoneticPr fontId="7"/>
  </si>
  <si>
    <t>順</t>
    <phoneticPr fontId="7"/>
  </si>
  <si>
    <t>炯</t>
    <phoneticPr fontId="7"/>
  </si>
  <si>
    <t>悅</t>
    <phoneticPr fontId="7"/>
  </si>
  <si>
    <t>云</t>
    <phoneticPr fontId="7"/>
  </si>
  <si>
    <t>思</t>
    <phoneticPr fontId="7"/>
  </si>
  <si>
    <t>東</t>
    <phoneticPr fontId="7"/>
  </si>
  <si>
    <t>遠</t>
    <phoneticPr fontId="7"/>
  </si>
  <si>
    <t>凱</t>
    <phoneticPr fontId="7"/>
  </si>
  <si>
    <t>翔</t>
    <phoneticPr fontId="7"/>
  </si>
  <si>
    <t>硯</t>
    <phoneticPr fontId="7"/>
  </si>
  <si>
    <t>陽</t>
    <phoneticPr fontId="7"/>
  </si>
  <si>
    <t>通</t>
    <phoneticPr fontId="7"/>
  </si>
  <si>
    <t>峯</t>
    <phoneticPr fontId="7"/>
  </si>
  <si>
    <t>天</t>
    <phoneticPr fontId="7"/>
  </si>
  <si>
    <t>顯</t>
    <phoneticPr fontId="7"/>
  </si>
  <si>
    <t>瀚</t>
    <phoneticPr fontId="7"/>
  </si>
  <si>
    <t>閔</t>
    <phoneticPr fontId="7"/>
  </si>
  <si>
    <t>臺</t>
    <phoneticPr fontId="7"/>
  </si>
  <si>
    <t>熙</t>
    <phoneticPr fontId="7"/>
  </si>
  <si>
    <t>輝</t>
    <phoneticPr fontId="7"/>
  </si>
  <si>
    <t>溢</t>
    <phoneticPr fontId="7"/>
  </si>
  <si>
    <t>福</t>
    <phoneticPr fontId="7"/>
  </si>
  <si>
    <t>宏</t>
    <phoneticPr fontId="7"/>
  </si>
  <si>
    <t>徑</t>
    <phoneticPr fontId="7"/>
  </si>
  <si>
    <t>略</t>
    <phoneticPr fontId="7"/>
  </si>
  <si>
    <t>仿</t>
    <phoneticPr fontId="7"/>
  </si>
  <si>
    <t>海</t>
    <phoneticPr fontId="7"/>
  </si>
  <si>
    <t>山</t>
    <phoneticPr fontId="7"/>
  </si>
  <si>
    <t>恊</t>
    <phoneticPr fontId="7"/>
  </si>
  <si>
    <t>麒</t>
    <phoneticPr fontId="7"/>
  </si>
  <si>
    <t>彥</t>
    <phoneticPr fontId="7"/>
  </si>
  <si>
    <t>晨</t>
    <phoneticPr fontId="7"/>
  </si>
  <si>
    <t>敬</t>
    <phoneticPr fontId="7"/>
  </si>
  <si>
    <t>浩</t>
    <phoneticPr fontId="7"/>
  </si>
  <si>
    <t>梓</t>
    <phoneticPr fontId="7"/>
  </si>
  <si>
    <t>翊</t>
    <phoneticPr fontId="7"/>
  </si>
  <si>
    <t>翎</t>
    <phoneticPr fontId="7"/>
  </si>
  <si>
    <t>智</t>
    <phoneticPr fontId="7"/>
  </si>
  <si>
    <t>于</t>
    <phoneticPr fontId="7"/>
  </si>
  <si>
    <t>祥</t>
    <phoneticPr fontId="7"/>
  </si>
  <si>
    <t>啓</t>
    <phoneticPr fontId="7"/>
  </si>
  <si>
    <t>濤</t>
    <phoneticPr fontId="7"/>
  </si>
  <si>
    <t>尚</t>
    <phoneticPr fontId="7"/>
  </si>
  <si>
    <t>晴</t>
    <phoneticPr fontId="7"/>
  </si>
  <si>
    <t>睿</t>
    <phoneticPr fontId="7"/>
  </si>
  <si>
    <t>彧</t>
    <phoneticPr fontId="7"/>
  </si>
  <si>
    <t>軒</t>
    <phoneticPr fontId="7"/>
  </si>
  <si>
    <t>瑋</t>
    <phoneticPr fontId="7"/>
  </si>
  <si>
    <t>勛</t>
    <phoneticPr fontId="7"/>
  </si>
  <si>
    <t>墉</t>
    <phoneticPr fontId="7"/>
  </si>
  <si>
    <t>禎</t>
    <phoneticPr fontId="7"/>
  </si>
  <si>
    <t>銘</t>
    <phoneticPr fontId="7"/>
  </si>
  <si>
    <t>銓</t>
    <phoneticPr fontId="7"/>
  </si>
  <si>
    <t>蘭</t>
    <phoneticPr fontId="7"/>
  </si>
  <si>
    <t>賴</t>
    <phoneticPr fontId="7"/>
  </si>
  <si>
    <t>李</t>
    <phoneticPr fontId="7"/>
  </si>
  <si>
    <t>施</t>
    <phoneticPr fontId="7"/>
  </si>
  <si>
    <t>美</t>
    <phoneticPr fontId="7"/>
  </si>
  <si>
    <t>廖</t>
    <phoneticPr fontId="7"/>
  </si>
  <si>
    <t>淑</t>
    <phoneticPr fontId="7"/>
  </si>
  <si>
    <t>雪</t>
    <phoneticPr fontId="7"/>
  </si>
  <si>
    <t>瓔</t>
    <phoneticPr fontId="7"/>
  </si>
  <si>
    <t>專</t>
    <phoneticPr fontId="7"/>
  </si>
  <si>
    <t>阿</t>
    <phoneticPr fontId="7"/>
  </si>
  <si>
    <t>杏</t>
    <phoneticPr fontId="7"/>
  </si>
  <si>
    <t>洪</t>
    <phoneticPr fontId="7"/>
  </si>
  <si>
    <t>王</t>
    <phoneticPr fontId="7"/>
  </si>
  <si>
    <t>猗</t>
    <phoneticPr fontId="7"/>
  </si>
  <si>
    <t>怡</t>
    <phoneticPr fontId="7"/>
  </si>
  <si>
    <t>養</t>
    <phoneticPr fontId="7"/>
  </si>
  <si>
    <t>彩</t>
    <phoneticPr fontId="7"/>
  </si>
  <si>
    <t>子</t>
    <phoneticPr fontId="7"/>
  </si>
  <si>
    <t>?</t>
    <phoneticPr fontId="7"/>
  </si>
  <si>
    <t>葉</t>
    <phoneticPr fontId="7"/>
  </si>
  <si>
    <t>兵</t>
    <phoneticPr fontId="7"/>
  </si>
  <si>
    <t>蔡</t>
    <phoneticPr fontId="7"/>
  </si>
  <si>
    <t>錦</t>
    <phoneticPr fontId="7"/>
  </si>
  <si>
    <t>秀</t>
    <phoneticPr fontId="7"/>
  </si>
  <si>
    <t>蓮</t>
    <phoneticPr fontId="7"/>
  </si>
  <si>
    <t>英</t>
    <phoneticPr fontId="7"/>
  </si>
  <si>
    <t>鳳</t>
    <phoneticPr fontId="7"/>
  </si>
  <si>
    <t>聘</t>
    <phoneticPr fontId="7"/>
  </si>
  <si>
    <t>黃</t>
    <phoneticPr fontId="7"/>
  </si>
  <si>
    <t>侑</t>
    <phoneticPr fontId="7"/>
  </si>
  <si>
    <t>鈴</t>
    <phoneticPr fontId="7"/>
  </si>
  <si>
    <t>靚</t>
    <phoneticPr fontId="7"/>
  </si>
  <si>
    <t>安</t>
    <phoneticPr fontId="7"/>
  </si>
  <si>
    <t>珊</t>
    <phoneticPr fontId="7"/>
  </si>
  <si>
    <t>容</t>
    <phoneticPr fontId="7"/>
  </si>
  <si>
    <t>真</t>
    <phoneticPr fontId="7"/>
  </si>
  <si>
    <t>宜</t>
    <phoneticPr fontId="7"/>
  </si>
  <si>
    <t>素</t>
    <phoneticPr fontId="7"/>
  </si>
  <si>
    <t>秋</t>
    <phoneticPr fontId="7"/>
  </si>
  <si>
    <t>吳</t>
    <phoneticPr fontId="7"/>
  </si>
  <si>
    <t>粹</t>
    <phoneticPr fontId="7"/>
  </si>
  <si>
    <t>月</t>
    <phoneticPr fontId="7"/>
  </si>
  <si>
    <t>瓊</t>
    <phoneticPr fontId="7"/>
  </si>
  <si>
    <t>桃</t>
    <phoneticPr fontId="7"/>
  </si>
  <si>
    <t>粘</t>
    <phoneticPr fontId="7"/>
  </si>
  <si>
    <t>盧</t>
    <phoneticPr fontId="7"/>
  </si>
  <si>
    <t>慧</t>
    <phoneticPr fontId="7"/>
  </si>
  <si>
    <t>寶</t>
    <phoneticPr fontId="7"/>
  </si>
  <si>
    <t>貞</t>
    <phoneticPr fontId="7"/>
  </si>
  <si>
    <t>櫻</t>
    <phoneticPr fontId="7"/>
  </si>
  <si>
    <t>蓉</t>
    <phoneticPr fontId="7"/>
  </si>
  <si>
    <t>蔣</t>
    <phoneticPr fontId="7"/>
  </si>
  <si>
    <t>簡</t>
    <phoneticPr fontId="7"/>
  </si>
  <si>
    <t>楊</t>
    <phoneticPr fontId="7"/>
  </si>
  <si>
    <t>霞</t>
    <phoneticPr fontId="7"/>
  </si>
  <si>
    <t>爽</t>
    <phoneticPr fontId="7"/>
  </si>
  <si>
    <t>榴</t>
    <phoneticPr fontId="7"/>
  </si>
  <si>
    <t>關</t>
    <phoneticPr fontId="7"/>
  </si>
  <si>
    <t>莊</t>
    <phoneticPr fontId="7"/>
  </si>
  <si>
    <t>佳</t>
    <phoneticPr fontId="7"/>
  </si>
  <si>
    <t>惠</t>
    <phoneticPr fontId="7"/>
  </si>
  <si>
    <t>足</t>
    <phoneticPr fontId="7"/>
  </si>
  <si>
    <t>君</t>
    <phoneticPr fontId="7"/>
  </si>
  <si>
    <t>雯</t>
    <phoneticPr fontId="7"/>
  </si>
  <si>
    <t>娟</t>
    <phoneticPr fontId="7"/>
  </si>
  <si>
    <t>潘</t>
    <phoneticPr fontId="7"/>
  </si>
  <si>
    <t>鄭</t>
    <phoneticPr fontId="7"/>
  </si>
  <si>
    <t>麗</t>
    <phoneticPr fontId="7"/>
  </si>
  <si>
    <t>串</t>
    <phoneticPr fontId="7"/>
  </si>
  <si>
    <t>姈</t>
    <phoneticPr fontId="7"/>
  </si>
  <si>
    <t>周</t>
    <phoneticPr fontId="7"/>
  </si>
  <si>
    <t>謝</t>
    <phoneticPr fontId="7"/>
  </si>
  <si>
    <t>魏</t>
    <phoneticPr fontId="7"/>
  </si>
  <si>
    <t>靜</t>
    <phoneticPr fontId="7"/>
  </si>
  <si>
    <t>曉</t>
    <phoneticPr fontId="7"/>
  </si>
  <si>
    <t>依</t>
    <phoneticPr fontId="7"/>
  </si>
  <si>
    <t>斐</t>
    <phoneticPr fontId="7"/>
  </si>
  <si>
    <t>薇</t>
    <phoneticPr fontId="7"/>
  </si>
  <si>
    <t>臻</t>
    <phoneticPr fontId="7"/>
  </si>
  <si>
    <t>莉</t>
    <phoneticPr fontId="7"/>
  </si>
  <si>
    <t>玲</t>
    <phoneticPr fontId="7"/>
  </si>
  <si>
    <t>蜜</t>
    <phoneticPr fontId="7"/>
  </si>
  <si>
    <t>春</t>
    <phoneticPr fontId="7"/>
  </si>
  <si>
    <t>乾</t>
    <phoneticPr fontId="7"/>
  </si>
  <si>
    <t>掽</t>
    <phoneticPr fontId="7"/>
  </si>
  <si>
    <t>取</t>
    <phoneticPr fontId="7"/>
  </si>
  <si>
    <t>龍</t>
    <phoneticPr fontId="7"/>
  </si>
  <si>
    <t>傳</t>
    <phoneticPr fontId="7"/>
  </si>
  <si>
    <t>火</t>
    <phoneticPr fontId="7"/>
  </si>
  <si>
    <t>烈</t>
    <phoneticPr fontId="7"/>
  </si>
  <si>
    <t>杜</t>
    <phoneticPr fontId="7"/>
  </si>
  <si>
    <t>綉</t>
    <phoneticPr fontId="7"/>
  </si>
  <si>
    <t>爐</t>
    <phoneticPr fontId="7"/>
  </si>
  <si>
    <t>炎</t>
    <phoneticPr fontId="7"/>
  </si>
  <si>
    <t>八</t>
    <phoneticPr fontId="7"/>
  </si>
  <si>
    <t>焜</t>
    <phoneticPr fontId="7"/>
  </si>
  <si>
    <t>堂</t>
    <phoneticPr fontId="7"/>
  </si>
  <si>
    <t>九</t>
    <phoneticPr fontId="7"/>
  </si>
  <si>
    <t>佑</t>
    <phoneticPr fontId="7"/>
  </si>
  <si>
    <t>升</t>
    <phoneticPr fontId="7"/>
  </si>
  <si>
    <t>長</t>
    <phoneticPr fontId="7"/>
  </si>
  <si>
    <t>十</t>
    <phoneticPr fontId="7"/>
  </si>
  <si>
    <t>鐘</t>
  </si>
  <si>
    <t>胡</t>
    <phoneticPr fontId="7"/>
  </si>
  <si>
    <t>世</t>
    <phoneticPr fontId="7"/>
  </si>
  <si>
    <t>奎</t>
    <phoneticPr fontId="7"/>
  </si>
  <si>
    <t>埤</t>
    <phoneticPr fontId="7"/>
  </si>
  <si>
    <t>田</t>
    <phoneticPr fontId="7"/>
  </si>
  <si>
    <t>牛</t>
    <phoneticPr fontId="7"/>
  </si>
  <si>
    <t>向</t>
    <phoneticPr fontId="7"/>
  </si>
  <si>
    <t>塗</t>
    <phoneticPr fontId="7"/>
  </si>
  <si>
    <t>河</t>
    <phoneticPr fontId="7"/>
  </si>
  <si>
    <t>平</t>
    <phoneticPr fontId="7"/>
  </si>
  <si>
    <t>華</t>
    <phoneticPr fontId="7"/>
  </si>
  <si>
    <t>淇</t>
    <phoneticPr fontId="7"/>
  </si>
  <si>
    <t>第一代</t>
    <phoneticPr fontId="7"/>
  </si>
  <si>
    <t>第二代</t>
    <phoneticPr fontId="7"/>
  </si>
  <si>
    <t>第三代</t>
    <phoneticPr fontId="7"/>
  </si>
  <si>
    <t>第四代</t>
    <phoneticPr fontId="7"/>
  </si>
  <si>
    <t>第五代</t>
    <phoneticPr fontId="7"/>
  </si>
  <si>
    <t>第六代</t>
    <phoneticPr fontId="7"/>
  </si>
  <si>
    <t>第七代</t>
    <phoneticPr fontId="7"/>
  </si>
  <si>
    <t>第八代</t>
    <phoneticPr fontId="7"/>
  </si>
  <si>
    <t>第九代</t>
    <phoneticPr fontId="7"/>
  </si>
  <si>
    <t>提</t>
    <phoneticPr fontId="7"/>
  </si>
  <si>
    <t>富</t>
    <phoneticPr fontId="3" type="noConversion"/>
  </si>
  <si>
    <t>鍾</t>
    <phoneticPr fontId="3" type="noConversion"/>
  </si>
  <si>
    <t>貴</t>
    <phoneticPr fontId="7"/>
  </si>
  <si>
    <t>交</t>
    <phoneticPr fontId="7"/>
  </si>
  <si>
    <t>品</t>
    <phoneticPr fontId="3" type="noConversion"/>
  </si>
  <si>
    <t>春</t>
    <phoneticPr fontId="3" type="noConversion"/>
  </si>
  <si>
    <t>不</t>
    <phoneticPr fontId="3" type="noConversion"/>
  </si>
  <si>
    <t>詳</t>
    <phoneticPr fontId="3" type="noConversion"/>
  </si>
  <si>
    <t>台</t>
    <phoneticPr fontId="3" type="noConversion"/>
  </si>
  <si>
    <t>灣</t>
    <phoneticPr fontId="3" type="noConversion"/>
  </si>
  <si>
    <t>開</t>
    <phoneticPr fontId="3" type="noConversion"/>
  </si>
  <si>
    <t>基</t>
    <phoneticPr fontId="3" type="noConversion"/>
  </si>
  <si>
    <t>吉</t>
    <phoneticPr fontId="3" type="noConversion"/>
  </si>
  <si>
    <t>不</t>
    <phoneticPr fontId="7"/>
  </si>
  <si>
    <t>詳</t>
    <phoneticPr fontId="7"/>
  </si>
  <si>
    <t>醜</t>
    <phoneticPr fontId="7"/>
  </si>
  <si>
    <t>頂番婆</t>
    <phoneticPr fontId="7"/>
  </si>
  <si>
    <t>埔姜崙</t>
    <phoneticPr fontId="7"/>
  </si>
  <si>
    <t>草</t>
    <phoneticPr fontId="7"/>
  </si>
  <si>
    <t>湳</t>
    <phoneticPr fontId="7"/>
  </si>
  <si>
    <t>底</t>
    <phoneticPr fontId="7"/>
  </si>
  <si>
    <t>第十代</t>
    <phoneticPr fontId="7"/>
  </si>
  <si>
    <t>金</t>
    <phoneticPr fontId="7"/>
  </si>
  <si>
    <t>枝</t>
    <phoneticPr fontId="7"/>
  </si>
  <si>
    <t>鐘</t>
    <phoneticPr fontId="7"/>
  </si>
  <si>
    <t>榮</t>
    <phoneticPr fontId="7"/>
  </si>
  <si>
    <t>煌</t>
    <phoneticPr fontId="7"/>
  </si>
  <si>
    <t>禹</t>
    <phoneticPr fontId="7"/>
  </si>
  <si>
    <t>強</t>
    <phoneticPr fontId="7"/>
  </si>
  <si>
    <t>柏</t>
    <phoneticPr fontId="7"/>
  </si>
  <si>
    <t>雄</t>
    <phoneticPr fontId="7"/>
  </si>
  <si>
    <t>鐘</t>
    <phoneticPr fontId="3" type="noConversion"/>
  </si>
  <si>
    <t>提</t>
    <phoneticPr fontId="3" type="noConversion"/>
  </si>
  <si>
    <t>氏</t>
    <phoneticPr fontId="3" type="noConversion"/>
  </si>
  <si>
    <t>富</t>
    <phoneticPr fontId="3" type="noConversion"/>
  </si>
  <si>
    <t>貴</t>
    <phoneticPr fontId="3" type="noConversion"/>
  </si>
  <si>
    <t>許</t>
    <phoneticPr fontId="3" type="noConversion"/>
  </si>
  <si>
    <t>錦</t>
    <phoneticPr fontId="3" type="noConversion"/>
  </si>
  <si>
    <t>良</t>
    <phoneticPr fontId="3" type="noConversion"/>
  </si>
  <si>
    <t>翏</t>
    <phoneticPr fontId="3" type="noConversion"/>
  </si>
  <si>
    <t>草湳底</t>
    <phoneticPr fontId="3" type="noConversion"/>
  </si>
  <si>
    <t>頂番婆</t>
    <phoneticPr fontId="3" type="noConversion"/>
  </si>
  <si>
    <t>埔姜崙</t>
    <phoneticPr fontId="3" type="noConversion"/>
  </si>
  <si>
    <t>生</t>
    <phoneticPr fontId="3" type="noConversion"/>
  </si>
  <si>
    <t>卒</t>
    <phoneticPr fontId="3" type="noConversion"/>
  </si>
  <si>
    <t>享年</t>
    <phoneticPr fontId="3" type="noConversion"/>
  </si>
  <si>
    <t>台灣開基祖母</t>
    <phoneticPr fontId="3" type="noConversion"/>
  </si>
  <si>
    <t>不詳</t>
    <phoneticPr fontId="3" type="noConversion"/>
  </si>
  <si>
    <t>唐山來台</t>
    <phoneticPr fontId="3" type="noConversion"/>
  </si>
  <si>
    <t>長子</t>
    <phoneticPr fontId="3" type="noConversion"/>
  </si>
  <si>
    <t>第1代</t>
    <phoneticPr fontId="3" type="noConversion"/>
  </si>
  <si>
    <t>次子</t>
    <phoneticPr fontId="3" type="noConversion"/>
  </si>
  <si>
    <t>鍾仁</t>
    <phoneticPr fontId="3" type="noConversion"/>
  </si>
  <si>
    <t>廖氏</t>
    <phoneticPr fontId="3" type="noConversion"/>
  </si>
  <si>
    <t>祖父</t>
    <phoneticPr fontId="3" type="noConversion"/>
  </si>
  <si>
    <t>夫</t>
    <phoneticPr fontId="3" type="noConversion"/>
  </si>
  <si>
    <t>鍾提</t>
    <phoneticPr fontId="3" type="noConversion"/>
  </si>
  <si>
    <t>第2代</t>
    <phoneticPr fontId="3" type="noConversion"/>
  </si>
  <si>
    <t>鍾胡</t>
    <phoneticPr fontId="3" type="noConversion"/>
  </si>
  <si>
    <t>祖母</t>
    <phoneticPr fontId="3" type="noConversion"/>
  </si>
  <si>
    <t>妻</t>
    <phoneticPr fontId="3" type="noConversion"/>
  </si>
  <si>
    <t>翏氏</t>
    <phoneticPr fontId="3" type="noConversion"/>
  </si>
  <si>
    <t>父</t>
    <phoneticPr fontId="3" type="noConversion"/>
  </si>
  <si>
    <t>鍾富貴</t>
    <phoneticPr fontId="3" type="noConversion"/>
  </si>
  <si>
    <t>第3代</t>
    <phoneticPr fontId="3" type="noConversion"/>
  </si>
  <si>
    <t>鍾三</t>
    <phoneticPr fontId="3" type="noConversion"/>
  </si>
  <si>
    <t>母</t>
    <phoneticPr fontId="3" type="noConversion"/>
  </si>
  <si>
    <t>許錦良</t>
    <phoneticPr fontId="3" type="noConversion"/>
  </si>
  <si>
    <t>三子？</t>
    <phoneticPr fontId="3" type="noConversion"/>
  </si>
  <si>
    <t>鍾春</t>
    <phoneticPr fontId="3" type="noConversion"/>
  </si>
  <si>
    <t>第4代</t>
    <phoneticPr fontId="3" type="noConversion"/>
  </si>
  <si>
    <t>鍾世</t>
    <phoneticPr fontId="3" type="noConversion"/>
  </si>
  <si>
    <t>？</t>
    <phoneticPr fontId="3" type="noConversion"/>
  </si>
  <si>
    <t>四子</t>
    <phoneticPr fontId="3" type="noConversion"/>
  </si>
  <si>
    <t>鍾交</t>
    <phoneticPr fontId="3" type="noConversion"/>
  </si>
  <si>
    <t>五子</t>
    <phoneticPr fontId="3" type="noConversion"/>
  </si>
  <si>
    <t>鍾品</t>
    <phoneticPr fontId="3" type="noConversion"/>
  </si>
  <si>
    <t>元配</t>
    <phoneticPr fontId="3" type="noConversion"/>
  </si>
  <si>
    <t>後妻</t>
    <phoneticPr fontId="3" type="noConversion"/>
  </si>
  <si>
    <t>郭惜</t>
    <phoneticPr fontId="3" type="noConversion"/>
  </si>
  <si>
    <t>鍾吉</t>
    <phoneticPr fontId="3" type="noConversion"/>
  </si>
  <si>
    <t>第5代</t>
    <phoneticPr fontId="3" type="noConversion"/>
  </si>
  <si>
    <t>鍾埤</t>
    <phoneticPr fontId="3" type="noConversion"/>
  </si>
  <si>
    <t>鍾乾</t>
    <phoneticPr fontId="3" type="noConversion"/>
  </si>
  <si>
    <t>梁哂</t>
    <phoneticPr fontId="3" type="noConversion"/>
  </si>
  <si>
    <t>鍾田</t>
    <phoneticPr fontId="3" type="noConversion"/>
  </si>
  <si>
    <t>第6代</t>
    <phoneticPr fontId="3" type="noConversion"/>
  </si>
  <si>
    <t>鐘塗金</t>
    <phoneticPr fontId="3" type="noConversion"/>
  </si>
  <si>
    <t>鐘福華</t>
    <phoneticPr fontId="3" type="noConversion"/>
  </si>
  <si>
    <t>鍾仁德</t>
    <phoneticPr fontId="3" type="noConversion"/>
  </si>
  <si>
    <t>鍾龍</t>
    <phoneticPr fontId="3" type="noConversion"/>
  </si>
  <si>
    <t>鍾心婦</t>
    <phoneticPr fontId="3" type="noConversion"/>
  </si>
  <si>
    <t>鍾取</t>
    <phoneticPr fontId="3" type="noConversion"/>
  </si>
  <si>
    <t>鍾瑞源</t>
    <phoneticPr fontId="3" type="noConversion"/>
  </si>
  <si>
    <t>鍾文錦</t>
    <phoneticPr fontId="3" type="noConversion"/>
  </si>
  <si>
    <t>第7代</t>
    <phoneticPr fontId="3" type="noConversion"/>
  </si>
  <si>
    <t>鍾火爐</t>
    <phoneticPr fontId="3" type="noConversion"/>
  </si>
  <si>
    <t>鍾奎</t>
    <phoneticPr fontId="3" type="noConversion"/>
  </si>
  <si>
    <t>鍾文绣</t>
    <phoneticPr fontId="3" type="noConversion"/>
  </si>
  <si>
    <t>鍾牛</t>
    <phoneticPr fontId="3" type="noConversion"/>
  </si>
  <si>
    <t>鍾文海</t>
    <phoneticPr fontId="3" type="noConversion"/>
  </si>
  <si>
    <t>鍾文南</t>
    <phoneticPr fontId="3" type="noConversion"/>
  </si>
  <si>
    <t>鍾文林</t>
    <phoneticPr fontId="3" type="noConversion"/>
  </si>
  <si>
    <t>鍾文杜</t>
    <phoneticPr fontId="3" type="noConversion"/>
  </si>
  <si>
    <t>鍾傳烈</t>
    <phoneticPr fontId="3" type="noConversion"/>
  </si>
  <si>
    <t>鍾朝國</t>
    <phoneticPr fontId="3" type="noConversion"/>
  </si>
  <si>
    <t>第8代</t>
    <phoneticPr fontId="3" type="noConversion"/>
  </si>
  <si>
    <t>鍾耀明</t>
    <phoneticPr fontId="3" type="noConversion"/>
  </si>
  <si>
    <t>第9代</t>
    <phoneticPr fontId="3" type="noConversion"/>
  </si>
  <si>
    <t>清</t>
    <phoneticPr fontId="7"/>
  </si>
  <si>
    <t>芸</t>
    <phoneticPr fontId="7"/>
  </si>
  <si>
    <t>華</t>
    <phoneticPr fontId="3" type="noConversion"/>
  </si>
  <si>
    <t>婉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</si>
</sst>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新細明體"/>
      <family val="2"/>
      <scheme val="minor"/>
    </font>
    <font>
      <sz val="12"/>
      <color indexed="8"/>
      <name val="ＭＳ Ｐゴシック"/>
      <family val="2"/>
      <charset val="128"/>
    </font>
    <font>
      <sz val="12"/>
      <name val="標楷體"/>
      <family val="4"/>
      <charset val="136"/>
    </font>
    <font>
      <sz val="9"/>
      <name val="新細明體"/>
      <family val="3"/>
      <charset val="136"/>
      <scheme val="minor"/>
    </font>
    <font>
      <sz val="14"/>
      <name val="標楷體"/>
      <family val="4"/>
      <charset val="136"/>
    </font>
    <font>
      <sz val="16"/>
      <name val="標楷體"/>
      <family val="4"/>
      <charset val="136"/>
    </font>
    <font>
      <sz val="8"/>
      <name val="標楷體"/>
      <family val="4"/>
      <charset val="136"/>
    </font>
    <font>
      <sz val="6"/>
      <name val="ＭＳ Ｐゴシック"/>
      <family val="2"/>
      <charset val="128"/>
    </font>
    <font>
      <sz val="16"/>
      <color indexed="8"/>
      <name val="標楷體"/>
      <family val="4"/>
      <charset val="136"/>
    </font>
    <font>
      <sz val="12"/>
      <color indexed="8"/>
      <name val="標楷體"/>
      <family val="4"/>
      <charset val="136"/>
    </font>
    <font>
      <sz val="16"/>
      <color rgb="FF0000FF"/>
      <name val="標楷體"/>
      <family val="4"/>
      <charset val="136"/>
    </font>
    <font>
      <sz val="12"/>
      <color indexed="12"/>
      <name val="ＭＳ Ｐゴシック"/>
      <family val="2"/>
      <charset val="128"/>
    </font>
    <font>
      <sz val="16"/>
      <color indexed="12"/>
      <name val="標楷體"/>
      <family val="4"/>
      <charset val="136"/>
    </font>
    <font>
      <sz val="12"/>
      <color indexed="12"/>
      <name val="標楷體"/>
      <family val="4"/>
      <charset val="136"/>
    </font>
    <font>
      <sz val="16"/>
      <color indexed="8"/>
      <name val="ＭＳ Ｐゴシック"/>
      <family val="2"/>
      <charset val="128"/>
    </font>
    <font>
      <sz val="16"/>
      <color indexed="12"/>
      <name val="ＭＳ Ｐゴシック"/>
      <family val="2"/>
      <charset val="128"/>
    </font>
    <font>
      <sz val="16"/>
      <color theme="1"/>
      <name val="標楷體"/>
      <family val="4"/>
      <charset val="136"/>
    </font>
    <font>
      <sz val="20"/>
      <color indexed="8"/>
      <name val="標楷體"/>
      <family val="4"/>
      <charset val="136"/>
    </font>
    <font>
      <sz val="12"/>
      <color rgb="FFFF0000"/>
      <name val="新細明體"/>
      <family val="2"/>
      <scheme val="minor"/>
    </font>
    <font>
      <sz val="12"/>
      <color rgb="FF0000FF"/>
      <name val="新細明體"/>
      <family val="1"/>
      <charset val="136"/>
      <scheme val="minor"/>
    </font>
    <font>
      <sz val="12"/>
      <color rgb="FF0000FF"/>
      <name val="新細明體"/>
      <family val="2"/>
      <scheme val="minor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32">
    <xf numFmtId="0" fontId="0" fillId="0" borderId="0" xfId="0"/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>
      <alignment vertical="center"/>
    </xf>
    <xf numFmtId="0" fontId="2" fillId="0" borderId="2" xfId="1" applyFont="1" applyBorder="1">
      <alignment vertical="center"/>
    </xf>
    <xf numFmtId="0" fontId="4" fillId="0" borderId="3" xfId="1" applyFont="1" applyBorder="1">
      <alignment vertical="center"/>
    </xf>
    <xf numFmtId="0" fontId="5" fillId="0" borderId="3" xfId="1" applyFont="1" applyBorder="1">
      <alignment vertical="center"/>
    </xf>
    <xf numFmtId="0" fontId="5" fillId="0" borderId="3" xfId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5" fillId="0" borderId="4" xfId="1" applyFont="1" applyBorder="1">
      <alignment vertical="center"/>
    </xf>
    <xf numFmtId="0" fontId="4" fillId="0" borderId="1" xfId="1" applyFont="1" applyBorder="1">
      <alignment vertical="center"/>
    </xf>
    <xf numFmtId="0" fontId="5" fillId="0" borderId="2" xfId="1" applyFont="1" applyBorder="1">
      <alignment vertical="center"/>
    </xf>
    <xf numFmtId="0" fontId="1" fillId="0" borderId="3" xfId="1" applyBorder="1">
      <alignment vertical="center"/>
    </xf>
    <xf numFmtId="0" fontId="10" fillId="0" borderId="3" xfId="1" applyFont="1" applyBorder="1">
      <alignment vertical="center"/>
    </xf>
    <xf numFmtId="0" fontId="8" fillId="0" borderId="3" xfId="1" applyFont="1" applyBorder="1">
      <alignment vertical="center"/>
    </xf>
    <xf numFmtId="0" fontId="9" fillId="0" borderId="3" xfId="1" applyFont="1" applyBorder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1" fillId="0" borderId="0" xfId="1" applyFont="1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5" fillId="0" borderId="5" xfId="1" applyFont="1" applyBorder="1">
      <alignment vertical="center"/>
    </xf>
    <xf numFmtId="0" fontId="4" fillId="0" borderId="2" xfId="1" applyFont="1" applyBorder="1">
      <alignment vertical="center"/>
    </xf>
    <xf numFmtId="0" fontId="5" fillId="0" borderId="6" xfId="1" applyFont="1" applyBorder="1">
      <alignment vertical="center"/>
    </xf>
    <xf numFmtId="0" fontId="1" fillId="0" borderId="1" xfId="1" applyBorder="1">
      <alignment vertical="center"/>
    </xf>
    <xf numFmtId="0" fontId="8" fillId="0" borderId="7" xfId="1" applyFont="1" applyBorder="1">
      <alignment vertical="center"/>
    </xf>
    <xf numFmtId="0" fontId="8" fillId="0" borderId="6" xfId="1" applyFont="1" applyBorder="1">
      <alignment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8" fillId="0" borderId="1" xfId="1" applyFont="1" applyBorder="1">
      <alignment vertical="center"/>
    </xf>
    <xf numFmtId="0" fontId="2" fillId="0" borderId="3" xfId="1" applyFont="1" applyBorder="1">
      <alignment vertical="center"/>
    </xf>
    <xf numFmtId="0" fontId="8" fillId="0" borderId="5" xfId="1" applyFont="1" applyBorder="1">
      <alignment vertical="center"/>
    </xf>
    <xf numFmtId="0" fontId="2" fillId="0" borderId="6" xfId="1" applyFont="1" applyBorder="1">
      <alignment vertical="center"/>
    </xf>
    <xf numFmtId="0" fontId="12" fillId="0" borderId="5" xfId="1" applyFont="1" applyBorder="1">
      <alignment vertical="center"/>
    </xf>
    <xf numFmtId="0" fontId="13" fillId="0" borderId="5" xfId="1" applyFont="1" applyBorder="1">
      <alignment vertical="center"/>
    </xf>
    <xf numFmtId="0" fontId="10" fillId="0" borderId="2" xfId="1" applyFont="1" applyBorder="1">
      <alignment vertical="center"/>
    </xf>
    <xf numFmtId="0" fontId="10" fillId="0" borderId="6" xfId="1" applyFont="1" applyBorder="1">
      <alignment vertical="center"/>
    </xf>
    <xf numFmtId="0" fontId="10" fillId="0" borderId="1" xfId="1" applyFont="1" applyBorder="1">
      <alignment vertical="center"/>
    </xf>
    <xf numFmtId="0" fontId="9" fillId="0" borderId="2" xfId="1" applyFont="1" applyBorder="1">
      <alignment vertical="center"/>
    </xf>
    <xf numFmtId="0" fontId="9" fillId="0" borderId="6" xfId="1" applyFont="1" applyBorder="1">
      <alignment vertical="center"/>
    </xf>
    <xf numFmtId="0" fontId="9" fillId="0" borderId="1" xfId="1" applyFont="1" applyBorder="1">
      <alignment vertical="center"/>
    </xf>
    <xf numFmtId="0" fontId="8" fillId="0" borderId="2" xfId="1" applyFont="1" applyBorder="1">
      <alignment vertical="center"/>
    </xf>
    <xf numFmtId="0" fontId="14" fillId="0" borderId="0" xfId="1" applyFont="1">
      <alignment vertical="center"/>
    </xf>
    <xf numFmtId="0" fontId="15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5" fillId="0" borderId="7" xfId="1" applyFont="1" applyBorder="1">
      <alignment vertical="center"/>
    </xf>
    <xf numFmtId="0" fontId="6" fillId="0" borderId="0" xfId="1" applyFont="1" applyAlignment="1">
      <alignment horizontal="left" vertical="center"/>
    </xf>
    <xf numFmtId="0" fontId="1" fillId="0" borderId="4" xfId="1" applyBorder="1">
      <alignment vertical="center"/>
    </xf>
    <xf numFmtId="0" fontId="11" fillId="0" borderId="4" xfId="1" applyFont="1" applyBorder="1">
      <alignment vertical="center"/>
    </xf>
    <xf numFmtId="0" fontId="1" fillId="0" borderId="2" xfId="1" applyBorder="1">
      <alignment vertical="center"/>
    </xf>
    <xf numFmtId="0" fontId="1" fillId="0" borderId="7" xfId="1" applyBorder="1">
      <alignment vertical="center"/>
    </xf>
    <xf numFmtId="0" fontId="1" fillId="0" borderId="5" xfId="1" applyBorder="1">
      <alignment vertical="center"/>
    </xf>
    <xf numFmtId="0" fontId="1" fillId="0" borderId="8" xfId="1" applyBorder="1">
      <alignment vertical="center"/>
    </xf>
    <xf numFmtId="0" fontId="1" fillId="0" borderId="6" xfId="1" applyBorder="1">
      <alignment vertical="center"/>
    </xf>
    <xf numFmtId="0" fontId="5" fillId="0" borderId="0" xfId="1" applyFont="1" applyAlignment="1">
      <alignment vertical="center"/>
    </xf>
    <xf numFmtId="0" fontId="16" fillId="0" borderId="0" xfId="0" applyFont="1"/>
    <xf numFmtId="0" fontId="5" fillId="0" borderId="0" xfId="1" applyFont="1" applyAlignment="1">
      <alignment horizontal="center" vertical="center"/>
    </xf>
    <xf numFmtId="0" fontId="1" fillId="0" borderId="0" xfId="1" applyBorder="1">
      <alignment vertical="center"/>
    </xf>
    <xf numFmtId="0" fontId="0" fillId="0" borderId="4" xfId="0" applyBorder="1"/>
    <xf numFmtId="0" fontId="5" fillId="0" borderId="0" xfId="1" applyFont="1" applyAlignment="1">
      <alignment horizontal="left" vertical="center"/>
    </xf>
    <xf numFmtId="0" fontId="9" fillId="0" borderId="4" xfId="1" applyFont="1" applyBorder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/>
    <xf numFmtId="0" fontId="5" fillId="0" borderId="0" xfId="1" applyFont="1" applyBorder="1">
      <alignment vertical="center"/>
    </xf>
    <xf numFmtId="0" fontId="17" fillId="0" borderId="0" xfId="1" applyFont="1" applyAlignment="1">
      <alignment horizontal="center" vertical="center"/>
    </xf>
    <xf numFmtId="0" fontId="5" fillId="0" borderId="0" xfId="1" applyFont="1" applyBorder="1" applyAlignment="1">
      <alignment vertical="center"/>
    </xf>
    <xf numFmtId="0" fontId="8" fillId="0" borderId="0" xfId="1" applyFont="1" applyBorder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4" xfId="0" applyBorder="1" applyAlignment="1">
      <alignment horizontal="left"/>
    </xf>
    <xf numFmtId="0" fontId="11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0" fontId="5" fillId="0" borderId="4" xfId="1" applyFont="1" applyBorder="1" applyAlignment="1">
      <alignment horizontal="left" vertical="center"/>
    </xf>
    <xf numFmtId="0" fontId="0" fillId="0" borderId="7" xfId="0" applyBorder="1"/>
    <xf numFmtId="0" fontId="5" fillId="0" borderId="7" xfId="0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2" xfId="1" applyFont="1" applyBorder="1" applyAlignment="1">
      <alignment horizontal="left" vertical="center"/>
    </xf>
    <xf numFmtId="0" fontId="10" fillId="0" borderId="0" xfId="1" applyFont="1" applyBorder="1" applyAlignment="1">
      <alignment vertical="center" textRotation="255"/>
    </xf>
    <xf numFmtId="0" fontId="17" fillId="0" borderId="0" xfId="1" applyFont="1" applyBorder="1" applyAlignment="1">
      <alignment horizontal="center" vertical="center"/>
    </xf>
    <xf numFmtId="0" fontId="11" fillId="0" borderId="7" xfId="1" applyFont="1" applyBorder="1">
      <alignment vertical="center"/>
    </xf>
    <xf numFmtId="0" fontId="0" fillId="0" borderId="0" xfId="0" applyAlignment="1">
      <alignment horizontal="center"/>
    </xf>
    <xf numFmtId="0" fontId="0" fillId="0" borderId="12" xfId="0" applyBorder="1"/>
    <xf numFmtId="0" fontId="0" fillId="0" borderId="11" xfId="0" applyBorder="1"/>
    <xf numFmtId="0" fontId="0" fillId="0" borderId="11" xfId="0" quotePrefix="1" applyBorder="1" applyAlignment="1">
      <alignment horizontal="center"/>
    </xf>
    <xf numFmtId="0" fontId="0" fillId="0" borderId="12" xfId="0" quotePrefix="1" applyBorder="1" applyAlignment="1">
      <alignment horizontal="left"/>
    </xf>
    <xf numFmtId="0" fontId="0" fillId="0" borderId="11" xfId="0" quotePrefix="1" applyBorder="1"/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"/>
    </xf>
    <xf numFmtId="0" fontId="0" fillId="3" borderId="0" xfId="0" applyFill="1"/>
    <xf numFmtId="0" fontId="18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9" fillId="0" borderId="0" xfId="0" applyFont="1"/>
    <xf numFmtId="0" fontId="20" fillId="0" borderId="0" xfId="0" applyFont="1"/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0" borderId="9" xfId="1" applyFont="1" applyBorder="1" applyAlignment="1">
      <alignment horizontal="center" vertical="center" textRotation="255"/>
    </xf>
    <xf numFmtId="0" fontId="10" fillId="0" borderId="10" xfId="1" applyFont="1" applyBorder="1" applyAlignment="1">
      <alignment horizontal="center" vertical="center" textRotation="255"/>
    </xf>
    <xf numFmtId="0" fontId="5" fillId="0" borderId="0" xfId="1" quotePrefix="1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5" fillId="0" borderId="0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 textRotation="255"/>
    </xf>
    <xf numFmtId="0" fontId="10" fillId="0" borderId="6" xfId="1" applyFont="1" applyBorder="1" applyAlignment="1">
      <alignment horizontal="center" vertical="center" textRotation="255"/>
    </xf>
    <xf numFmtId="0" fontId="10" fillId="0" borderId="1" xfId="1" applyFont="1" applyBorder="1" applyAlignment="1">
      <alignment horizontal="center" vertical="center" textRotation="255"/>
    </xf>
    <xf numFmtId="0" fontId="10" fillId="0" borderId="7" xfId="1" applyFont="1" applyBorder="1" applyAlignment="1">
      <alignment horizontal="center" vertical="center" textRotation="255"/>
    </xf>
    <xf numFmtId="0" fontId="10" fillId="0" borderId="5" xfId="1" applyFont="1" applyBorder="1" applyAlignment="1">
      <alignment horizontal="center" vertical="center" textRotation="255"/>
    </xf>
    <xf numFmtId="0" fontId="10" fillId="0" borderId="8" xfId="1" applyFont="1" applyBorder="1" applyAlignment="1">
      <alignment horizontal="center" vertical="center" textRotation="255"/>
    </xf>
    <xf numFmtId="0" fontId="10" fillId="0" borderId="9" xfId="1" quotePrefix="1" applyFont="1" applyBorder="1" applyAlignment="1">
      <alignment horizontal="center" vertical="center" textRotation="255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247650</xdr:colOff>
      <xdr:row>0</xdr:row>
      <xdr:rowOff>95250</xdr:rowOff>
    </xdr:from>
    <xdr:to>
      <xdr:col>79</xdr:col>
      <xdr:colOff>57150</xdr:colOff>
      <xdr:row>2</xdr:row>
      <xdr:rowOff>190500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6A300421-E663-4ABB-BD41-DF8DEC7E469D}"/>
            </a:ext>
          </a:extLst>
        </xdr:cNvPr>
        <xdr:cNvSpPr txBox="1"/>
      </xdr:nvSpPr>
      <xdr:spPr>
        <a:xfrm>
          <a:off x="14382750" y="95250"/>
          <a:ext cx="6743700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 algn="ctr"/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鐘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譜</a:t>
          </a:r>
          <a:r>
            <a:rPr lang="en-US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en-US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總</a:t>
          </a:r>
          <a:r>
            <a:rPr lang="en-US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en-US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覽</a:t>
          </a:r>
          <a:endParaRPr lang="zh-TW" altLang="zh-TW" sz="20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247650</xdr:colOff>
      <xdr:row>0</xdr:row>
      <xdr:rowOff>95250</xdr:rowOff>
    </xdr:from>
    <xdr:to>
      <xdr:col>79</xdr:col>
      <xdr:colOff>57150</xdr:colOff>
      <xdr:row>2</xdr:row>
      <xdr:rowOff>190500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F173DDF3-07A2-4C3E-BACD-ADA33F4BC5C7}"/>
            </a:ext>
          </a:extLst>
        </xdr:cNvPr>
        <xdr:cNvSpPr txBox="1"/>
      </xdr:nvSpPr>
      <xdr:spPr>
        <a:xfrm>
          <a:off x="13978890" y="95250"/>
          <a:ext cx="6545580" cy="643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 algn="ctr"/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鐘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譜</a:t>
          </a:r>
          <a:r>
            <a:rPr lang="en-US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en-US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總</a:t>
          </a:r>
          <a:r>
            <a:rPr lang="en-US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en-US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覽</a:t>
          </a:r>
          <a:endParaRPr lang="zh-TW" altLang="zh-TW" sz="20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89</xdr:col>
      <xdr:colOff>114300</xdr:colOff>
      <xdr:row>0</xdr:row>
      <xdr:rowOff>101600</xdr:rowOff>
    </xdr:from>
    <xdr:to>
      <xdr:col>115</xdr:col>
      <xdr:colOff>165100</xdr:colOff>
      <xdr:row>2</xdr:row>
      <xdr:rowOff>196850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8C3E5D01-0CEA-444C-BE0F-223F747BD7F5}"/>
            </a:ext>
          </a:extLst>
        </xdr:cNvPr>
        <xdr:cNvSpPr txBox="1"/>
      </xdr:nvSpPr>
      <xdr:spPr>
        <a:xfrm>
          <a:off x="23444200" y="101600"/>
          <a:ext cx="6769100" cy="65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 algn="ctr"/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鐘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譜</a:t>
          </a:r>
          <a:r>
            <a:rPr lang="en-US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en-US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總</a:t>
          </a:r>
          <a:r>
            <a:rPr lang="en-US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en-US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覽</a:t>
          </a:r>
          <a:endParaRPr lang="zh-TW" altLang="zh-TW" sz="20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75830</xdr:colOff>
      <xdr:row>1</xdr:row>
      <xdr:rowOff>157720</xdr:rowOff>
    </xdr:from>
    <xdr:to>
      <xdr:col>27</xdr:col>
      <xdr:colOff>121104</xdr:colOff>
      <xdr:row>3</xdr:row>
      <xdr:rowOff>178213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520E9D89-C9B8-406B-B4C4-D956EE76A961}"/>
            </a:ext>
          </a:extLst>
        </xdr:cNvPr>
        <xdr:cNvSpPr txBox="1"/>
      </xdr:nvSpPr>
      <xdr:spPr>
        <a:xfrm>
          <a:off x="4310373" y="440749"/>
          <a:ext cx="3996788" cy="58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 algn="ctr"/>
          <a:r>
            <a:rPr lang="zh-TW" altLang="en-US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鐘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譜</a:t>
          </a:r>
          <a:endParaRPr lang="zh-TW" altLang="zh-TW" sz="2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97601</xdr:colOff>
      <xdr:row>1</xdr:row>
      <xdr:rowOff>5320</xdr:rowOff>
    </xdr:from>
    <xdr:to>
      <xdr:col>27</xdr:col>
      <xdr:colOff>142875</xdr:colOff>
      <xdr:row>3</xdr:row>
      <xdr:rowOff>25813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88E83B37-EA64-433A-B995-82356D41C998}"/>
            </a:ext>
          </a:extLst>
        </xdr:cNvPr>
        <xdr:cNvSpPr txBox="1"/>
      </xdr:nvSpPr>
      <xdr:spPr>
        <a:xfrm>
          <a:off x="4326701" y="287260"/>
          <a:ext cx="4015294" cy="5843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 algn="ctr"/>
          <a:r>
            <a:rPr lang="zh-TW" altLang="en-US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鐘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譜</a:t>
          </a:r>
          <a:endParaRPr lang="zh-TW" altLang="zh-TW" sz="2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185058</xdr:colOff>
      <xdr:row>0</xdr:row>
      <xdr:rowOff>153680</xdr:rowOff>
    </xdr:from>
    <xdr:to>
      <xdr:col>31</xdr:col>
      <xdr:colOff>62907</xdr:colOff>
      <xdr:row>2</xdr:row>
      <xdr:rowOff>175642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610A2347-4CA3-4BF3-BA7B-712E0FA1DB90}"/>
            </a:ext>
          </a:extLst>
        </xdr:cNvPr>
        <xdr:cNvSpPr txBox="1"/>
      </xdr:nvSpPr>
      <xdr:spPr>
        <a:xfrm>
          <a:off x="3824729" y="153680"/>
          <a:ext cx="4297449" cy="5777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 algn="ctr"/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鐘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譜</a:t>
          </a:r>
          <a:endParaRPr lang="zh-TW" altLang="zh-TW" sz="2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254812</xdr:colOff>
      <xdr:row>0</xdr:row>
      <xdr:rowOff>104115</xdr:rowOff>
    </xdr:from>
    <xdr:to>
      <xdr:col>29</xdr:col>
      <xdr:colOff>131282</xdr:colOff>
      <xdr:row>2</xdr:row>
      <xdr:rowOff>123174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A365E16B-F2E3-4623-9527-031832E29010}"/>
            </a:ext>
          </a:extLst>
        </xdr:cNvPr>
        <xdr:cNvSpPr txBox="1"/>
      </xdr:nvSpPr>
      <xdr:spPr>
        <a:xfrm>
          <a:off x="4277138" y="104115"/>
          <a:ext cx="4248000" cy="53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 algn="ctr"/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鐘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譜</a:t>
          </a:r>
          <a:endParaRPr lang="zh-TW" altLang="zh-TW" sz="2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148000</xdr:colOff>
      <xdr:row>0</xdr:row>
      <xdr:rowOff>65177</xdr:rowOff>
    </xdr:from>
    <xdr:to>
      <xdr:col>30</xdr:col>
      <xdr:colOff>89137</xdr:colOff>
      <xdr:row>2</xdr:row>
      <xdr:rowOff>84236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1E468FA-1EC4-4FC2-B656-056A8FD92C6D}"/>
            </a:ext>
          </a:extLst>
        </xdr:cNvPr>
        <xdr:cNvSpPr txBox="1"/>
      </xdr:nvSpPr>
      <xdr:spPr>
        <a:xfrm>
          <a:off x="5657680" y="65177"/>
          <a:ext cx="4248000" cy="53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 algn="ctr"/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鐘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譜</a:t>
          </a:r>
          <a:endParaRPr lang="zh-TW" altLang="zh-TW" sz="2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217713</xdr:colOff>
      <xdr:row>0</xdr:row>
      <xdr:rowOff>130629</xdr:rowOff>
    </xdr:from>
    <xdr:to>
      <xdr:col>42</xdr:col>
      <xdr:colOff>95562</xdr:colOff>
      <xdr:row>2</xdr:row>
      <xdr:rowOff>152591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92B84163-5AF7-4B03-88BB-1FBDF6801B34}"/>
            </a:ext>
          </a:extLst>
        </xdr:cNvPr>
        <xdr:cNvSpPr txBox="1"/>
      </xdr:nvSpPr>
      <xdr:spPr>
        <a:xfrm>
          <a:off x="6749142" y="130629"/>
          <a:ext cx="4319220" cy="5880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 algn="ctr"/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鐘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譜</a:t>
          </a:r>
          <a:endParaRPr lang="zh-TW" altLang="zh-TW" sz="2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17145</xdr:colOff>
      <xdr:row>0</xdr:row>
      <xdr:rowOff>114863</xdr:rowOff>
    </xdr:from>
    <xdr:to>
      <xdr:col>32</xdr:col>
      <xdr:colOff>191085</xdr:colOff>
      <xdr:row>2</xdr:row>
      <xdr:rowOff>133922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F1843A83-ED02-4B4C-9760-8F8B92468783}"/>
            </a:ext>
          </a:extLst>
        </xdr:cNvPr>
        <xdr:cNvSpPr txBox="1"/>
      </xdr:nvSpPr>
      <xdr:spPr>
        <a:xfrm>
          <a:off x="3547996" y="114863"/>
          <a:ext cx="4248000" cy="53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 algn="ctr"/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鐘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譜</a:t>
          </a:r>
          <a:endParaRPr lang="zh-TW" altLang="zh-TW" sz="2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206827</xdr:colOff>
      <xdr:row>0</xdr:row>
      <xdr:rowOff>206828</xdr:rowOff>
    </xdr:from>
    <xdr:to>
      <xdr:col>26</xdr:col>
      <xdr:colOff>84675</xdr:colOff>
      <xdr:row>2</xdr:row>
      <xdr:rowOff>228790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39EB22E9-5FB8-42A3-8259-81FC9830D6D0}"/>
            </a:ext>
          </a:extLst>
        </xdr:cNvPr>
        <xdr:cNvSpPr txBox="1"/>
      </xdr:nvSpPr>
      <xdr:spPr>
        <a:xfrm>
          <a:off x="2558141" y="206828"/>
          <a:ext cx="4319220" cy="5880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 algn="ctr"/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鐘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譜</a:t>
          </a:r>
          <a:endParaRPr lang="zh-TW" altLang="zh-TW" sz="2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0</xdr:row>
      <xdr:rowOff>108858</xdr:rowOff>
    </xdr:from>
    <xdr:to>
      <xdr:col>27</xdr:col>
      <xdr:colOff>106448</xdr:colOff>
      <xdr:row>2</xdr:row>
      <xdr:rowOff>130820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D210C337-9DE3-41DC-AFF5-E78DF9ED81EE}"/>
            </a:ext>
          </a:extLst>
        </xdr:cNvPr>
        <xdr:cNvSpPr txBox="1"/>
      </xdr:nvSpPr>
      <xdr:spPr>
        <a:xfrm>
          <a:off x="2841171" y="108858"/>
          <a:ext cx="4319220" cy="5880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>
          <a:noAutofit/>
        </a:bodyPr>
        <a:lstStyle/>
        <a:p>
          <a:pPr algn="ctr"/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鐘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族</a:t>
          </a:r>
          <a:r>
            <a:rPr lang="en-US" altLang="zh-TW" sz="20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         </a:t>
          </a:r>
          <a:r>
            <a:rPr lang="zh-TW" altLang="zh-TW" sz="20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譜</a:t>
          </a:r>
          <a:endParaRPr lang="zh-TW" altLang="zh-TW" sz="20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V85"/>
  <sheetViews>
    <sheetView showGridLines="0" topLeftCell="AK1" zoomScale="65" zoomScaleNormal="65" zoomScalePageLayoutView="70" workbookViewId="0">
      <selection activeCell="BW18" sqref="BW18"/>
    </sheetView>
  </sheetViews>
  <sheetFormatPr defaultColWidth="3.77734375" defaultRowHeight="22.05" customHeight="1"/>
  <cols>
    <col min="1" max="1" width="3.77734375" style="7" customWidth="1"/>
    <col min="2" max="2" width="3.77734375" style="7"/>
    <col min="3" max="5" width="3.77734375" style="3"/>
    <col min="6" max="6" width="3.77734375" style="3" customWidth="1"/>
    <col min="7" max="8" width="3.77734375" style="7"/>
    <col min="9" max="9" width="4.6640625" style="7" bestFit="1" customWidth="1"/>
    <col min="10" max="10" width="3.77734375" style="3" customWidth="1"/>
    <col min="11" max="11" width="3.77734375" style="3"/>
    <col min="12" max="12" width="3.77734375" style="3" customWidth="1"/>
    <col min="13" max="14" width="3.77734375" style="3"/>
    <col min="15" max="16" width="3.77734375" style="7" customWidth="1"/>
    <col min="17" max="29" width="3.77734375" style="7"/>
    <col min="30" max="30" width="3.88671875" style="7" bestFit="1" customWidth="1"/>
    <col min="31" max="31" width="4.6640625" style="7" bestFit="1" customWidth="1"/>
    <col min="32" max="32" width="3.77734375" style="7" customWidth="1"/>
    <col min="36" max="36" width="3.77734375" customWidth="1"/>
    <col min="39" max="39" width="3.77734375" customWidth="1"/>
    <col min="51" max="51" width="3.88671875" bestFit="1" customWidth="1"/>
    <col min="52" max="52" width="4.6640625" bestFit="1" customWidth="1"/>
    <col min="63" max="63" width="4.6640625" bestFit="1" customWidth="1"/>
    <col min="66" max="66" width="4.6640625" bestFit="1" customWidth="1"/>
    <col min="69" max="69" width="4.6640625" bestFit="1" customWidth="1"/>
    <col min="70" max="70" width="3.88671875" bestFit="1" customWidth="1"/>
    <col min="71" max="105" width="3.77734375" customWidth="1"/>
    <col min="108" max="109" width="3.77734375" customWidth="1"/>
    <col min="111" max="111" width="4.6640625" bestFit="1" customWidth="1"/>
    <col min="118" max="119" width="3.77734375" customWidth="1"/>
    <col min="128" max="131" width="3.77734375" customWidth="1"/>
    <col min="139" max="141" width="3.77734375" customWidth="1"/>
    <col min="145" max="145" width="3.77734375" style="89" customWidth="1"/>
    <col min="149" max="149" width="3.77734375" style="89" customWidth="1"/>
    <col min="156" max="156" width="3.77734375" customWidth="1"/>
    <col min="160" max="160" width="3.77734375" customWidth="1"/>
    <col min="176" max="177" width="3.77734375" style="7"/>
    <col min="178" max="178" width="3.77734375" style="3"/>
  </cols>
  <sheetData>
    <row r="5" spans="1:178" ht="22.05" customHeight="1">
      <c r="C5" s="4"/>
      <c r="F5" s="7"/>
      <c r="I5" s="3"/>
      <c r="N5" s="7"/>
      <c r="BO5" s="84" t="s">
        <v>343</v>
      </c>
      <c r="BP5" s="84" t="s">
        <v>345</v>
      </c>
      <c r="FV5" s="69"/>
    </row>
    <row r="6" spans="1:178" ht="10.050000000000001" customHeight="1">
      <c r="C6" s="4"/>
      <c r="F6" s="7"/>
      <c r="I6" s="3"/>
      <c r="N6" s="7"/>
      <c r="BO6" s="7"/>
      <c r="FV6" s="69"/>
    </row>
    <row r="7" spans="1:178" ht="22.05" customHeight="1">
      <c r="C7" s="4"/>
      <c r="F7" s="7"/>
      <c r="I7" s="3"/>
      <c r="J7" s="62" t="s">
        <v>351</v>
      </c>
      <c r="K7" s="62"/>
      <c r="N7" s="7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100" t="s">
        <v>344</v>
      </c>
      <c r="BP7" s="100" t="s">
        <v>346</v>
      </c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I7" s="82"/>
      <c r="CJ7" s="82"/>
      <c r="CK7" s="82"/>
      <c r="CL7" s="82"/>
      <c r="CM7" s="82"/>
      <c r="CS7" s="82"/>
      <c r="DD7" s="62" t="s">
        <v>352</v>
      </c>
      <c r="DE7" s="62"/>
      <c r="DF7" s="3"/>
      <c r="FV7" s="69"/>
    </row>
    <row r="8" spans="1:178" ht="22.05" customHeight="1">
      <c r="C8" s="4"/>
      <c r="F8" s="7"/>
      <c r="I8" s="3"/>
      <c r="K8" s="16"/>
      <c r="L8" s="16"/>
      <c r="M8" s="16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0"/>
      <c r="BP8" s="55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FV8" s="69"/>
    </row>
    <row r="9" spans="1:178" ht="22.05" customHeight="1">
      <c r="C9" s="4"/>
      <c r="F9" s="7"/>
      <c r="G9" s="9"/>
      <c r="H9" s="9"/>
      <c r="I9" s="3"/>
      <c r="J9" s="58"/>
      <c r="K9" s="67">
        <v>2</v>
      </c>
      <c r="N9" s="7"/>
      <c r="P9" s="9"/>
      <c r="DE9" s="58"/>
      <c r="DF9" s="67">
        <v>1</v>
      </c>
      <c r="FV9" s="69"/>
    </row>
    <row r="10" spans="1:178" ht="22.05" customHeight="1">
      <c r="A10" s="117" t="s">
        <v>325</v>
      </c>
      <c r="B10" s="117"/>
      <c r="C10" s="4"/>
      <c r="E10" s="9"/>
      <c r="F10" s="9"/>
      <c r="G10" s="9"/>
      <c r="H10" s="9"/>
      <c r="I10" s="3"/>
      <c r="J10" s="116" t="s">
        <v>312</v>
      </c>
      <c r="K10" s="116"/>
      <c r="L10" s="67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T10" s="67"/>
      <c r="BU10" s="62"/>
      <c r="DE10" s="120" t="s">
        <v>341</v>
      </c>
      <c r="DF10" s="120"/>
      <c r="DG10" s="67"/>
      <c r="FT10" s="117" t="s">
        <v>325</v>
      </c>
      <c r="FU10" s="117"/>
      <c r="FV10" s="69"/>
    </row>
    <row r="11" spans="1:178" ht="22.05" customHeight="1">
      <c r="A11" s="117"/>
      <c r="B11" s="117"/>
      <c r="C11" s="5"/>
      <c r="E11" s="9"/>
      <c r="F11" s="9"/>
      <c r="G11" s="9"/>
      <c r="H11" s="9"/>
      <c r="I11" s="3"/>
      <c r="J11" s="116"/>
      <c r="K11" s="116"/>
      <c r="L11" s="54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BU11" s="62"/>
      <c r="DE11" s="62"/>
      <c r="DF11" s="63"/>
      <c r="FT11" s="117"/>
      <c r="FU11" s="117"/>
      <c r="FV11" s="5"/>
    </row>
    <row r="12" spans="1:178" ht="22.05" customHeight="1">
      <c r="A12" s="117"/>
      <c r="B12" s="117"/>
      <c r="C12" s="5"/>
      <c r="E12" s="9"/>
      <c r="F12" s="9"/>
      <c r="G12" s="9"/>
      <c r="H12" s="9"/>
      <c r="I12" s="9"/>
      <c r="J12" s="116" t="s">
        <v>111</v>
      </c>
      <c r="K12" s="116"/>
      <c r="L12" s="54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BU12" s="62"/>
      <c r="DE12" s="120" t="s">
        <v>342</v>
      </c>
      <c r="DF12" s="120"/>
      <c r="FT12" s="117"/>
      <c r="FU12" s="117"/>
      <c r="FV12" s="5"/>
    </row>
    <row r="13" spans="1:178" ht="22.05" customHeight="1">
      <c r="A13" s="117"/>
      <c r="B13" s="117"/>
      <c r="C13" s="5"/>
      <c r="E13" s="9"/>
      <c r="F13" s="9"/>
      <c r="G13" s="9"/>
      <c r="H13" s="9"/>
      <c r="I13" s="9"/>
      <c r="J13" s="5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DE13" s="58"/>
      <c r="DF13" s="9"/>
      <c r="FT13" s="117"/>
      <c r="FU13" s="117"/>
      <c r="FV13" s="5"/>
    </row>
    <row r="14" spans="1:178" ht="22.05" customHeight="1">
      <c r="A14" s="117" t="s">
        <v>326</v>
      </c>
      <c r="B14" s="117"/>
      <c r="E14" s="9"/>
      <c r="F14" s="9"/>
      <c r="G14" s="9"/>
      <c r="H14" s="9"/>
      <c r="I14" s="9"/>
      <c r="J14" s="116" t="s">
        <v>312</v>
      </c>
      <c r="K14" s="11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BU14" s="63"/>
      <c r="DD14" s="62"/>
      <c r="DE14" s="116" t="s">
        <v>312</v>
      </c>
      <c r="DF14" s="116"/>
      <c r="DG14" s="54">
        <v>1749</v>
      </c>
      <c r="FT14" s="117" t="s">
        <v>326</v>
      </c>
      <c r="FU14" s="117"/>
    </row>
    <row r="15" spans="1:178" ht="22.05" customHeight="1">
      <c r="A15" s="117"/>
      <c r="B15" s="117"/>
      <c r="E15" s="9"/>
      <c r="F15" s="9"/>
      <c r="G15" s="9"/>
      <c r="H15" s="9"/>
      <c r="I15" s="9"/>
      <c r="J15" s="116"/>
      <c r="K15" s="116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BU15" s="63"/>
      <c r="DD15" s="62"/>
      <c r="DE15" s="62"/>
      <c r="DF15" s="62"/>
      <c r="DG15" s="54" t="s">
        <v>4</v>
      </c>
      <c r="FT15" s="117"/>
      <c r="FU15" s="117"/>
    </row>
    <row r="16" spans="1:178" ht="22.05" customHeight="1">
      <c r="A16" s="117"/>
      <c r="B16" s="117"/>
      <c r="E16" s="9"/>
      <c r="F16" s="9"/>
      <c r="G16" s="9"/>
      <c r="H16" s="9"/>
      <c r="I16" s="9"/>
      <c r="J16" s="116" t="s">
        <v>313</v>
      </c>
      <c r="K16" s="116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BU16" s="63"/>
      <c r="DD16" s="62"/>
      <c r="DE16" s="116" t="s">
        <v>334</v>
      </c>
      <c r="DF16" s="116"/>
      <c r="DG16" s="54">
        <v>1799</v>
      </c>
      <c r="FT16" s="117"/>
      <c r="FU16" s="117"/>
    </row>
    <row r="17" spans="1:178" ht="22.05" customHeight="1">
      <c r="A17" s="117"/>
      <c r="B17" s="117"/>
      <c r="E17" s="9"/>
      <c r="F17" s="9"/>
      <c r="G17" s="9"/>
      <c r="H17" s="9"/>
      <c r="I17" s="9"/>
      <c r="J17" s="58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DD17" s="9"/>
      <c r="DE17" s="58"/>
      <c r="DF17" s="9"/>
      <c r="FT17" s="117"/>
      <c r="FU17" s="117"/>
    </row>
    <row r="18" spans="1:178" ht="22.05" customHeight="1">
      <c r="A18" s="117" t="s">
        <v>327</v>
      </c>
      <c r="B18" s="117"/>
      <c r="E18" s="9"/>
      <c r="F18" s="9"/>
      <c r="G18" s="9"/>
      <c r="H18" s="9"/>
      <c r="I18" s="9"/>
      <c r="J18" s="116" t="s">
        <v>312</v>
      </c>
      <c r="K18" s="116"/>
      <c r="L18" s="54">
        <v>1796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BU18" s="62"/>
      <c r="DD18" s="62"/>
      <c r="DE18" s="116" t="s">
        <v>312</v>
      </c>
      <c r="DF18" s="116"/>
      <c r="DG18" s="54">
        <v>1776</v>
      </c>
      <c r="FT18" s="117" t="s">
        <v>327</v>
      </c>
      <c r="FU18" s="117"/>
    </row>
    <row r="19" spans="1:178" ht="22.05" customHeight="1">
      <c r="A19" s="117"/>
      <c r="B19" s="117"/>
      <c r="C19" s="9"/>
      <c r="E19" s="9"/>
      <c r="F19" s="9"/>
      <c r="G19" s="9"/>
      <c r="H19" s="9"/>
      <c r="I19" s="9"/>
      <c r="J19" s="116"/>
      <c r="K19" s="116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BU19" s="62"/>
      <c r="DD19" s="62"/>
      <c r="DE19" s="116" t="s">
        <v>335</v>
      </c>
      <c r="DF19" s="116"/>
      <c r="DG19" s="54" t="s">
        <v>4</v>
      </c>
      <c r="FT19" s="117"/>
      <c r="FU19" s="117"/>
      <c r="FV19" s="9"/>
    </row>
    <row r="20" spans="1:178" ht="22.05" customHeight="1">
      <c r="A20" s="117"/>
      <c r="B20" s="117"/>
      <c r="C20" s="9"/>
      <c r="D20" s="5"/>
      <c r="E20" s="9"/>
      <c r="F20" s="9"/>
      <c r="G20" s="9"/>
      <c r="H20" s="9"/>
      <c r="I20" s="9"/>
      <c r="J20" s="116" t="s">
        <v>12</v>
      </c>
      <c r="K20" s="116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BQ20" s="62" t="s">
        <v>353</v>
      </c>
      <c r="BR20" s="85" t="s">
        <v>354</v>
      </c>
      <c r="BS20" s="83" t="s">
        <v>355</v>
      </c>
      <c r="BU20" s="62"/>
      <c r="CI20" s="82"/>
      <c r="CJ20" s="82"/>
      <c r="CK20" s="82"/>
      <c r="CL20" s="82"/>
      <c r="CM20" s="82"/>
      <c r="CY20" s="82"/>
      <c r="CZ20" s="82"/>
      <c r="DA20" s="82"/>
      <c r="DB20" s="82"/>
      <c r="DD20" s="62"/>
      <c r="DE20" s="116" t="s">
        <v>337</v>
      </c>
      <c r="DF20" s="116"/>
      <c r="DG20" s="54">
        <v>1829</v>
      </c>
      <c r="DH20" s="82"/>
      <c r="DI20" s="82"/>
      <c r="DJ20" s="82"/>
      <c r="DK20" s="82"/>
      <c r="DL20" s="82"/>
      <c r="DM20" s="82"/>
      <c r="DN20" s="82"/>
      <c r="DO20" s="82"/>
      <c r="DP20" s="82"/>
      <c r="DQ20" s="82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82"/>
      <c r="EJ20" s="82"/>
      <c r="EK20" s="82"/>
      <c r="EL20" s="82"/>
      <c r="EM20" s="82"/>
      <c r="EN20" s="82"/>
      <c r="EO20" s="90"/>
      <c r="EP20" s="82"/>
      <c r="EQ20" s="82"/>
      <c r="ER20" s="82"/>
      <c r="ES20" s="90"/>
      <c r="ET20" s="82"/>
      <c r="EU20" s="82"/>
      <c r="EV20" s="82"/>
      <c r="EW20" s="82"/>
      <c r="EX20" s="82"/>
      <c r="EY20" s="82"/>
      <c r="EZ20" s="82"/>
      <c r="FB20" s="62" t="s">
        <v>352</v>
      </c>
      <c r="FC20" s="62"/>
      <c r="FD20" s="3"/>
      <c r="FT20" s="117"/>
      <c r="FU20" s="117"/>
      <c r="FV20" s="9"/>
    </row>
    <row r="21" spans="1:178" ht="22.05" customHeight="1">
      <c r="A21" s="117"/>
      <c r="B21" s="117"/>
      <c r="C21" s="9"/>
      <c r="D21" s="5"/>
      <c r="E21" s="9"/>
      <c r="F21" s="9"/>
      <c r="G21" s="9"/>
      <c r="H21" s="9"/>
      <c r="I21" s="9"/>
      <c r="J21" s="58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62"/>
      <c r="BR21" s="97"/>
      <c r="BS21" s="1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55"/>
      <c r="DE21" s="60"/>
      <c r="DF21" s="55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91"/>
      <c r="EP21" s="66"/>
      <c r="EQ21" s="66"/>
      <c r="ER21" s="66"/>
      <c r="ES21" s="91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  <c r="FK21" s="66"/>
      <c r="FL21" s="66"/>
      <c r="FM21" s="66"/>
      <c r="FT21" s="117"/>
      <c r="FU21" s="117"/>
      <c r="FV21" s="9"/>
    </row>
    <row r="22" spans="1:178" ht="22.05" customHeight="1">
      <c r="A22" s="117" t="s">
        <v>328</v>
      </c>
      <c r="B22" s="117"/>
      <c r="C22" s="25"/>
      <c r="D22" s="5"/>
      <c r="E22" s="9"/>
      <c r="F22" s="9"/>
      <c r="G22" s="9"/>
      <c r="H22" s="9"/>
      <c r="I22" s="9"/>
      <c r="J22" s="116" t="s">
        <v>312</v>
      </c>
      <c r="K22" s="116"/>
      <c r="L22" s="54">
        <v>1827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BQ22" s="58"/>
      <c r="BR22" s="67">
        <v>5</v>
      </c>
      <c r="EK22" s="58"/>
      <c r="EL22" s="67">
        <v>4</v>
      </c>
      <c r="EN22" s="3"/>
      <c r="EO22" s="67"/>
      <c r="EP22" s="3"/>
      <c r="EQ22" s="7"/>
      <c r="ER22" s="7"/>
      <c r="ES22" s="67"/>
      <c r="ET22" s="64"/>
      <c r="FA22" s="9"/>
      <c r="FB22" s="58"/>
      <c r="FC22" s="67">
        <v>3</v>
      </c>
      <c r="FI22" s="58"/>
      <c r="FJ22" s="67">
        <v>2</v>
      </c>
      <c r="FK22" s="9"/>
      <c r="FM22" s="58"/>
      <c r="FN22" s="67">
        <v>1</v>
      </c>
      <c r="FO22" s="3"/>
      <c r="FP22" s="3"/>
      <c r="FQ22" s="7"/>
      <c r="FR22" s="3"/>
      <c r="FS22" s="3"/>
      <c r="FT22" s="117" t="s">
        <v>328</v>
      </c>
      <c r="FU22" s="117"/>
      <c r="FV22" s="25"/>
    </row>
    <row r="23" spans="1:178" ht="22.05" customHeight="1">
      <c r="A23" s="117"/>
      <c r="B23" s="117"/>
      <c r="C23" s="9"/>
      <c r="D23" s="9"/>
      <c r="E23" s="9"/>
      <c r="F23" s="9"/>
      <c r="G23" s="9"/>
      <c r="H23" s="9"/>
      <c r="I23" s="9"/>
      <c r="J23" s="116"/>
      <c r="K23" s="116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BB23" s="63"/>
      <c r="BP23" s="63"/>
      <c r="BQ23" s="116" t="s">
        <v>312</v>
      </c>
      <c r="BR23" s="116" t="s">
        <v>336</v>
      </c>
      <c r="BS23" s="54">
        <v>1820</v>
      </c>
      <c r="BT23" s="63"/>
      <c r="DX23" s="63"/>
      <c r="DZ23" s="62"/>
      <c r="EK23" s="116" t="s">
        <v>312</v>
      </c>
      <c r="EL23" s="116"/>
      <c r="EM23" s="5">
        <v>1812</v>
      </c>
      <c r="EN23" s="3"/>
      <c r="EO23" s="67"/>
      <c r="EP23" s="3"/>
      <c r="EQ23" s="7"/>
      <c r="ER23" s="7"/>
      <c r="ES23" s="67"/>
      <c r="ET23" s="5"/>
      <c r="FB23" s="120" t="s">
        <v>312</v>
      </c>
      <c r="FC23" s="120"/>
      <c r="FD23" s="67"/>
      <c r="FE23" s="67"/>
      <c r="FF23" s="67"/>
      <c r="FG23" s="67"/>
      <c r="FH23" s="67"/>
      <c r="FI23" s="120" t="s">
        <v>341</v>
      </c>
      <c r="FJ23" s="120"/>
      <c r="FK23" s="63"/>
      <c r="FM23" s="120" t="s">
        <v>341</v>
      </c>
      <c r="FN23" s="120"/>
      <c r="FO23" s="3"/>
      <c r="FP23" s="3"/>
      <c r="FQ23" s="7"/>
      <c r="FR23" s="3"/>
      <c r="FS23" s="3"/>
      <c r="FT23" s="117"/>
      <c r="FU23" s="117"/>
      <c r="FV23" s="9"/>
    </row>
    <row r="24" spans="1:178" ht="22.05" customHeight="1">
      <c r="A24" s="117"/>
      <c r="B24" s="117"/>
      <c r="C24" s="9"/>
      <c r="D24" s="9"/>
      <c r="E24" s="9"/>
      <c r="F24" s="9"/>
      <c r="G24" s="9"/>
      <c r="H24" s="9"/>
      <c r="I24" s="9"/>
      <c r="J24" s="116" t="s">
        <v>314</v>
      </c>
      <c r="K24" s="116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BB24" s="63"/>
      <c r="BP24" s="63"/>
      <c r="BQ24" s="116"/>
      <c r="BR24" s="116"/>
      <c r="BS24" s="54" t="s">
        <v>4</v>
      </c>
      <c r="BT24" s="63"/>
      <c r="DX24" s="63"/>
      <c r="DZ24" s="62"/>
      <c r="EL24" s="62"/>
      <c r="EM24" s="5" t="s">
        <v>4</v>
      </c>
      <c r="EN24" s="3"/>
      <c r="EO24" s="67"/>
      <c r="EP24" s="3"/>
      <c r="EQ24" s="7"/>
      <c r="ER24" s="7"/>
      <c r="ES24" s="67"/>
      <c r="ET24" s="5"/>
      <c r="FA24" s="62"/>
      <c r="FC24" s="63"/>
      <c r="FD24" s="93" t="s">
        <v>4</v>
      </c>
      <c r="FI24" s="63"/>
      <c r="FM24" s="63"/>
      <c r="FO24" s="3"/>
      <c r="FP24" s="3"/>
      <c r="FQ24" s="7"/>
      <c r="FR24" s="3"/>
      <c r="FS24" s="3"/>
      <c r="FT24" s="117"/>
      <c r="FU24" s="117"/>
      <c r="FV24" s="9"/>
    </row>
    <row r="25" spans="1:178" ht="22.05" customHeight="1">
      <c r="A25" s="117"/>
      <c r="B25" s="117"/>
      <c r="C25" s="9"/>
      <c r="D25" s="9"/>
      <c r="E25" s="9"/>
      <c r="F25" s="9"/>
      <c r="G25" s="9"/>
      <c r="H25" s="9"/>
      <c r="I25" s="55"/>
      <c r="J25" s="60"/>
      <c r="K25" s="9"/>
      <c r="L25" s="55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K25" s="82"/>
      <c r="AL25" s="82"/>
      <c r="AM25" s="82"/>
      <c r="AN25" s="82"/>
      <c r="AO25" s="82"/>
      <c r="BB25" s="63"/>
      <c r="BQ25" s="116" t="s">
        <v>6</v>
      </c>
      <c r="BR25" s="116" t="s">
        <v>339</v>
      </c>
      <c r="BS25" s="54">
        <v>1872</v>
      </c>
      <c r="BT25" s="63"/>
      <c r="DX25" s="63"/>
      <c r="DZ25" s="62"/>
      <c r="EK25" s="116" t="s">
        <v>338</v>
      </c>
      <c r="EL25" s="116"/>
      <c r="EM25" s="5">
        <v>1836</v>
      </c>
      <c r="EN25" s="3"/>
      <c r="EO25" s="67"/>
      <c r="EP25" s="3"/>
      <c r="EQ25" s="7"/>
      <c r="ER25" s="7"/>
      <c r="ES25" s="67"/>
      <c r="ET25" s="5"/>
      <c r="FA25" s="62"/>
      <c r="FB25" s="120" t="s">
        <v>340</v>
      </c>
      <c r="FC25" s="120"/>
      <c r="FD25" s="93">
        <v>1864</v>
      </c>
      <c r="FI25" s="120" t="s">
        <v>342</v>
      </c>
      <c r="FJ25" s="120"/>
      <c r="FM25" s="120" t="s">
        <v>342</v>
      </c>
      <c r="FN25" s="120"/>
      <c r="FO25" s="3"/>
      <c r="FP25" s="3"/>
      <c r="FQ25" s="7"/>
      <c r="FR25" s="3"/>
      <c r="FS25" s="3"/>
      <c r="FT25" s="117"/>
      <c r="FU25" s="117"/>
      <c r="FV25" s="9"/>
    </row>
    <row r="26" spans="1:178" ht="22.05" customHeight="1">
      <c r="A26" s="117"/>
      <c r="B26" s="117"/>
      <c r="C26" s="9"/>
      <c r="D26" s="9"/>
      <c r="E26" s="9"/>
      <c r="F26" s="9"/>
      <c r="G26" s="58"/>
      <c r="H26" s="19"/>
      <c r="I26" s="9"/>
      <c r="J26" s="9"/>
      <c r="K26" s="19"/>
      <c r="L26" s="9"/>
      <c r="M26" s="61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K26" s="82"/>
      <c r="AL26" s="82"/>
      <c r="AM26" s="82"/>
      <c r="AN26" s="82"/>
      <c r="AO26" s="82"/>
      <c r="AU26" s="82"/>
      <c r="AV26" s="82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0"/>
      <c r="BR26" s="55"/>
      <c r="BS26" s="94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EL26" s="3"/>
      <c r="EM26" s="3"/>
      <c r="EN26" s="3"/>
      <c r="EO26" s="67"/>
      <c r="EP26" s="3"/>
      <c r="EQ26" s="7"/>
      <c r="ER26" s="7"/>
      <c r="ES26" s="67"/>
      <c r="ET26" s="3"/>
      <c r="EU26" s="3"/>
      <c r="EV26" s="3"/>
      <c r="EW26" s="3"/>
      <c r="EX26" s="7"/>
      <c r="EY26" s="7"/>
      <c r="EZ26" s="7"/>
      <c r="FA26" s="3"/>
      <c r="FB26" s="3"/>
      <c r="FC26" s="10"/>
      <c r="FD26" s="62"/>
      <c r="FE26" s="3"/>
      <c r="FF26" s="7"/>
      <c r="FG26" s="7"/>
      <c r="FH26" s="7"/>
      <c r="FI26" s="7"/>
      <c r="FJ26" s="7"/>
      <c r="FK26" s="7"/>
      <c r="FL26" s="7"/>
      <c r="FM26" s="3"/>
      <c r="FN26" s="8"/>
      <c r="FO26" s="8"/>
      <c r="FP26" s="8"/>
      <c r="FQ26" s="7"/>
      <c r="FR26" s="6"/>
      <c r="FS26" s="6"/>
      <c r="FT26" s="117"/>
      <c r="FU26" s="117"/>
      <c r="FV26" s="9"/>
    </row>
    <row r="27" spans="1:178" ht="22.05" customHeight="1">
      <c r="A27" s="122" t="s">
        <v>329</v>
      </c>
      <c r="B27" s="123"/>
      <c r="C27" s="9"/>
      <c r="D27" s="9"/>
      <c r="E27" s="9"/>
      <c r="F27" s="9"/>
      <c r="G27" s="116" t="s">
        <v>312</v>
      </c>
      <c r="H27" s="116"/>
      <c r="I27" s="54">
        <v>1865</v>
      </c>
      <c r="J27" s="9"/>
      <c r="K27" s="9"/>
      <c r="L27" s="9"/>
      <c r="M27" s="116" t="s">
        <v>312</v>
      </c>
      <c r="N27" s="116"/>
      <c r="O27" s="54">
        <v>1858</v>
      </c>
      <c r="P27" s="9"/>
      <c r="Q27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96"/>
      <c r="AY27" s="67">
        <v>2</v>
      </c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DC27" s="95"/>
      <c r="DD27" s="67">
        <v>1</v>
      </c>
      <c r="EL27" s="3"/>
      <c r="EM27" s="3"/>
      <c r="EN27" s="3"/>
      <c r="EO27" s="67"/>
      <c r="EP27" s="3"/>
      <c r="EQ27" s="7"/>
      <c r="ER27" s="7"/>
      <c r="ES27" s="67"/>
      <c r="ET27" s="3"/>
      <c r="EU27" s="3"/>
      <c r="EV27" s="3"/>
      <c r="EW27" s="3"/>
      <c r="EX27" s="7"/>
      <c r="EY27" s="7"/>
      <c r="EZ27" s="7"/>
      <c r="FA27" s="5"/>
      <c r="FB27" s="95"/>
      <c r="FE27" s="3"/>
      <c r="FF27" s="7"/>
      <c r="FG27" s="7"/>
      <c r="FH27" s="7"/>
      <c r="FI27" s="7"/>
      <c r="FJ27" s="7"/>
      <c r="FK27" s="7"/>
      <c r="FL27" s="7"/>
      <c r="FM27" s="3"/>
      <c r="FN27" s="8"/>
      <c r="FO27" s="8"/>
      <c r="FP27" s="8"/>
      <c r="FQ27" s="7"/>
      <c r="FR27" s="6"/>
      <c r="FS27" s="6"/>
      <c r="FT27" s="122" t="s">
        <v>329</v>
      </c>
      <c r="FU27" s="123"/>
      <c r="FV27" s="9"/>
    </row>
    <row r="28" spans="1:178" ht="22.05" customHeight="1">
      <c r="A28" s="124"/>
      <c r="B28" s="125"/>
      <c r="C28" s="9"/>
      <c r="D28" s="9"/>
      <c r="E28" s="9"/>
      <c r="F28" s="9"/>
      <c r="G28" s="116"/>
      <c r="H28" s="116"/>
      <c r="I28" s="9"/>
      <c r="J28" s="9"/>
      <c r="K28" s="9"/>
      <c r="L28" s="9"/>
      <c r="M28" s="116"/>
      <c r="N28" s="116"/>
      <c r="O28" s="9"/>
      <c r="P28" s="9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X28" s="121" t="s">
        <v>312</v>
      </c>
      <c r="AY28" s="121"/>
      <c r="AZ28" s="87">
        <v>1868</v>
      </c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DB28" s="63"/>
      <c r="DC28" s="120" t="s">
        <v>312</v>
      </c>
      <c r="DD28" s="120"/>
      <c r="DE28" s="54">
        <v>1850</v>
      </c>
      <c r="DF28" s="63"/>
      <c r="DG28" s="63"/>
      <c r="DH28" s="63"/>
      <c r="DK28" s="62"/>
      <c r="DL28" s="63"/>
      <c r="DM28" s="63"/>
      <c r="DN28" s="63"/>
      <c r="DP28" s="62"/>
      <c r="DQ28" s="62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3"/>
      <c r="EK28" s="63"/>
      <c r="EL28" s="3"/>
      <c r="EM28" s="3"/>
      <c r="EN28" s="3"/>
      <c r="EO28" s="67"/>
      <c r="EP28" s="3"/>
      <c r="EQ28" s="7"/>
      <c r="ER28" s="7"/>
      <c r="ES28" s="67"/>
      <c r="ET28" s="3"/>
      <c r="EU28" s="3"/>
      <c r="EV28" s="3"/>
      <c r="EW28" s="3"/>
      <c r="EX28" s="7"/>
      <c r="EY28" s="7"/>
      <c r="EZ28" s="7"/>
      <c r="FA28" s="5"/>
      <c r="FB28" s="116" t="s">
        <v>312</v>
      </c>
      <c r="FC28" s="116"/>
      <c r="FD28" s="93">
        <v>1843</v>
      </c>
      <c r="FE28" s="3"/>
      <c r="FF28" s="7"/>
      <c r="FG28" s="7"/>
      <c r="FH28" s="7"/>
      <c r="FI28" s="7"/>
      <c r="FJ28" s="7"/>
      <c r="FK28" s="7"/>
      <c r="FL28" s="7"/>
      <c r="FM28" s="3"/>
      <c r="FN28" s="8"/>
      <c r="FO28" s="8"/>
      <c r="FP28" s="8"/>
      <c r="FQ28" s="7"/>
      <c r="FR28" s="6"/>
      <c r="FS28" s="6"/>
      <c r="FT28" s="124"/>
      <c r="FU28" s="125"/>
      <c r="FV28" s="9"/>
    </row>
    <row r="29" spans="1:178" ht="22.05" customHeight="1">
      <c r="A29" s="124"/>
      <c r="B29" s="125"/>
      <c r="C29" s="9"/>
      <c r="D29" s="9"/>
      <c r="E29" s="9"/>
      <c r="F29" s="9"/>
      <c r="G29" s="116" t="s">
        <v>315</v>
      </c>
      <c r="H29" s="116"/>
      <c r="I29" s="9"/>
      <c r="J29" s="9"/>
      <c r="K29" s="9"/>
      <c r="L29" s="9"/>
      <c r="M29" s="116" t="s">
        <v>316</v>
      </c>
      <c r="N29" s="116"/>
      <c r="O29" s="9"/>
      <c r="P29" s="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X29" s="116" t="s">
        <v>111</v>
      </c>
      <c r="AY29" s="116"/>
      <c r="AZ29" s="87" t="s">
        <v>4</v>
      </c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DB29" s="63"/>
      <c r="DE29" s="54" t="s">
        <v>4</v>
      </c>
      <c r="DF29" s="63"/>
      <c r="DG29" s="63"/>
      <c r="DH29" s="63"/>
      <c r="DK29" s="62"/>
      <c r="DL29" s="63"/>
      <c r="DM29" s="63"/>
      <c r="DN29" s="63"/>
      <c r="DP29" s="62"/>
      <c r="DQ29" s="62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3"/>
      <c r="EK29" s="63"/>
      <c r="EL29" s="3"/>
      <c r="EM29" s="3"/>
      <c r="EN29" s="3"/>
      <c r="EO29" s="67"/>
      <c r="EP29" s="3"/>
      <c r="EQ29" s="7"/>
      <c r="ER29" s="7"/>
      <c r="ES29" s="67"/>
      <c r="ET29" s="3"/>
      <c r="EU29" s="3"/>
      <c r="EV29" s="3"/>
      <c r="EW29" s="3"/>
      <c r="EX29" s="7"/>
      <c r="EY29" s="7"/>
      <c r="EZ29" s="7"/>
      <c r="FA29" s="5"/>
      <c r="FE29" s="3"/>
      <c r="FF29" s="7"/>
      <c r="FG29" s="7"/>
      <c r="FH29" s="7"/>
      <c r="FI29" s="7"/>
      <c r="FJ29" s="7"/>
      <c r="FK29" s="7"/>
      <c r="FL29" s="7"/>
      <c r="FM29" s="3"/>
      <c r="FN29" s="8"/>
      <c r="FO29" s="8"/>
      <c r="FP29" s="8"/>
      <c r="FQ29" s="7"/>
      <c r="FR29" s="6"/>
      <c r="FS29" s="6"/>
      <c r="FT29" s="124"/>
      <c r="FU29" s="125"/>
      <c r="FV29" s="9"/>
    </row>
    <row r="30" spans="1:178" ht="22.05" customHeight="1">
      <c r="A30" s="124"/>
      <c r="B30" s="125"/>
      <c r="C30" s="9"/>
      <c r="D30" s="25"/>
      <c r="E30" s="55"/>
      <c r="F30" s="55"/>
      <c r="G30" s="60"/>
      <c r="H30" s="9"/>
      <c r="I30" s="9"/>
      <c r="J30" s="25"/>
      <c r="K30" s="25"/>
      <c r="L30" s="25"/>
      <c r="M30" s="58"/>
      <c r="N30" s="9"/>
      <c r="O30" s="9"/>
      <c r="P30" s="9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X30" s="116" t="s">
        <v>113</v>
      </c>
      <c r="AY30" s="116"/>
      <c r="AZ30" s="87">
        <v>1919</v>
      </c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DB30" s="63"/>
      <c r="DC30" s="120" t="s">
        <v>347</v>
      </c>
      <c r="DD30" s="120"/>
      <c r="DE30" s="54">
        <v>1893</v>
      </c>
      <c r="DF30" s="63"/>
      <c r="DG30" s="63"/>
      <c r="DH30" s="63"/>
      <c r="DK30" s="62"/>
      <c r="DL30" s="63"/>
      <c r="DM30" s="63"/>
      <c r="DN30" s="63"/>
      <c r="DP30" s="62"/>
      <c r="DQ30" s="62"/>
      <c r="DT30" s="63"/>
      <c r="DU30" s="63"/>
      <c r="DV30" s="63"/>
      <c r="DW30" s="63"/>
      <c r="DX30" s="63"/>
      <c r="DY30" s="63"/>
      <c r="DZ30" s="63"/>
      <c r="EA30" s="63"/>
      <c r="EB30" s="63"/>
      <c r="EC30" s="63"/>
      <c r="ED30" s="63"/>
      <c r="EE30" s="63"/>
      <c r="EF30" s="63"/>
      <c r="EG30" s="63"/>
      <c r="EH30" s="63"/>
      <c r="EI30" s="63"/>
      <c r="EJ30" s="63"/>
      <c r="EK30" s="63"/>
      <c r="EL30" s="3"/>
      <c r="EM30" s="3"/>
      <c r="EN30" s="3"/>
      <c r="EO30" s="67"/>
      <c r="EP30" s="3"/>
      <c r="EQ30" s="7"/>
      <c r="ER30" s="7"/>
      <c r="ES30" s="67"/>
      <c r="ET30" s="3"/>
      <c r="EU30" s="3"/>
      <c r="EV30" s="3"/>
      <c r="EW30" s="3"/>
      <c r="EX30" s="7"/>
      <c r="EY30" s="7"/>
      <c r="EZ30" s="7"/>
      <c r="FA30" s="3"/>
      <c r="FB30" s="116" t="s">
        <v>293</v>
      </c>
      <c r="FC30" s="116"/>
      <c r="FD30" s="93">
        <v>1911</v>
      </c>
      <c r="FE30" s="3"/>
      <c r="FF30" s="7"/>
      <c r="FG30" s="9"/>
      <c r="FH30" s="9"/>
      <c r="FI30" s="9"/>
      <c r="FJ30" s="7"/>
      <c r="FK30" s="7"/>
      <c r="FL30" s="7"/>
      <c r="FM30" s="3"/>
      <c r="FN30" s="8"/>
      <c r="FO30" s="8"/>
      <c r="FP30" s="8"/>
      <c r="FQ30" s="7"/>
      <c r="FR30" s="6"/>
      <c r="FS30" s="6"/>
      <c r="FT30" s="124"/>
      <c r="FU30" s="125"/>
      <c r="FV30" s="9"/>
    </row>
    <row r="31" spans="1:178" ht="22.05" customHeight="1">
      <c r="A31" s="126"/>
      <c r="B31" s="127"/>
      <c r="C31" s="9"/>
      <c r="D31" s="25"/>
      <c r="E31" s="57"/>
      <c r="F31" s="9"/>
      <c r="G31" s="19"/>
      <c r="H31" s="61"/>
      <c r="I31" s="9"/>
      <c r="J31" s="25"/>
      <c r="K31" s="25"/>
      <c r="L31" s="25"/>
      <c r="N31" s="10"/>
      <c r="P31" s="9"/>
      <c r="Q31" s="82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1"/>
      <c r="AD31" s="70"/>
      <c r="AE31" s="70"/>
      <c r="AF31" s="71"/>
      <c r="AG31" s="70"/>
      <c r="AH31" s="70"/>
      <c r="AI31" s="72"/>
      <c r="AJ31" s="72"/>
      <c r="AK31" s="73"/>
      <c r="AL31" s="74"/>
      <c r="AM31" s="74"/>
      <c r="AN31" s="74"/>
      <c r="AO31" s="75"/>
      <c r="AP31" s="75"/>
      <c r="AQ31" s="81"/>
      <c r="AR31" s="70"/>
      <c r="AS31" s="70"/>
      <c r="AT31" s="70"/>
      <c r="AU31" s="71"/>
      <c r="AV31" s="70"/>
      <c r="AW31" s="76"/>
      <c r="AX31" s="76"/>
      <c r="AY31" s="77"/>
      <c r="AZ31" s="88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1"/>
      <c r="BM31" s="70"/>
      <c r="BN31" s="70"/>
      <c r="BO31" s="71"/>
      <c r="BP31" s="70"/>
      <c r="BQ31" s="70"/>
      <c r="BR31" s="76"/>
      <c r="BS31" s="76"/>
      <c r="BT31" s="70"/>
      <c r="BU31" s="76"/>
      <c r="BV31" s="73"/>
      <c r="BW31" s="73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9"/>
      <c r="CI31" s="79"/>
      <c r="CM31" s="9"/>
      <c r="CN31" s="9"/>
      <c r="CO31" s="55"/>
      <c r="CP31" s="55"/>
      <c r="CQ31" s="55"/>
      <c r="CR31" s="55"/>
      <c r="CS31" s="55"/>
      <c r="CT31" s="55"/>
      <c r="CU31" s="55"/>
      <c r="CV31" s="55"/>
      <c r="CW31" s="9"/>
      <c r="CX31" s="9"/>
      <c r="CY31" s="9"/>
      <c r="DC31" s="60"/>
      <c r="DD31" s="59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82"/>
      <c r="DQ31" s="82"/>
      <c r="DR31" s="82"/>
      <c r="DS31" s="82"/>
      <c r="DT31" s="82"/>
      <c r="DU31" s="82"/>
      <c r="DV31" s="82"/>
      <c r="DW31" s="82"/>
      <c r="DX31" s="82"/>
      <c r="DY31" s="82"/>
      <c r="DZ31" s="82"/>
      <c r="EA31" s="82"/>
      <c r="EB31" s="82"/>
      <c r="EC31" s="82"/>
      <c r="ED31" s="82"/>
      <c r="EE31" s="82"/>
      <c r="EF31" s="82"/>
      <c r="EG31" s="82"/>
      <c r="EH31" s="82"/>
      <c r="EI31" s="82"/>
      <c r="EJ31" s="82"/>
      <c r="EK31" s="82"/>
      <c r="EL31" s="3"/>
      <c r="EM31" s="3"/>
      <c r="EN31" s="3"/>
      <c r="EO31" s="3"/>
      <c r="EP31" s="3"/>
      <c r="EQ31" s="7"/>
      <c r="ER31" s="7"/>
      <c r="ES31" s="3"/>
      <c r="ET31" s="3"/>
      <c r="EU31" s="3"/>
      <c r="EV31" s="3"/>
      <c r="EW31" s="3"/>
      <c r="EX31" s="7"/>
      <c r="EY31" s="7"/>
      <c r="EZ31" s="7"/>
      <c r="FA31" s="3"/>
      <c r="FB31" s="3"/>
      <c r="FC31" s="10"/>
      <c r="FD31" s="3"/>
      <c r="FE31" s="3"/>
      <c r="FF31" s="7"/>
      <c r="FG31" s="9"/>
      <c r="FH31" s="9"/>
      <c r="FI31" s="9"/>
      <c r="FJ31" s="7"/>
      <c r="FK31" s="7"/>
      <c r="FL31" s="7"/>
      <c r="FM31" s="3"/>
      <c r="FN31" s="8"/>
      <c r="FO31" s="8"/>
      <c r="FP31" s="8"/>
      <c r="FQ31" s="7"/>
      <c r="FR31" s="6"/>
      <c r="FS31" s="6"/>
      <c r="FT31" s="126"/>
      <c r="FU31" s="127"/>
      <c r="FV31" s="9"/>
    </row>
    <row r="32" spans="1:178" ht="22.05" customHeight="1">
      <c r="A32" s="117" t="s">
        <v>330</v>
      </c>
      <c r="B32" s="117"/>
      <c r="C32" s="9"/>
      <c r="D32" s="25"/>
      <c r="E32" s="31"/>
      <c r="F32" s="65"/>
      <c r="G32" s="65"/>
      <c r="H32" s="58"/>
      <c r="I32" s="9"/>
      <c r="J32" s="25"/>
      <c r="K32" s="25"/>
      <c r="L32" s="25"/>
      <c r="M32" s="53"/>
      <c r="N32" s="83"/>
      <c r="P32" s="9"/>
      <c r="Q32" s="82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8">
        <v>3</v>
      </c>
      <c r="AE32" s="13"/>
      <c r="AF32" s="13"/>
      <c r="AG32" s="13"/>
      <c r="AH32" s="13"/>
      <c r="AI32" s="20"/>
      <c r="AJ32" s="20"/>
      <c r="AK32" s="21"/>
      <c r="AL32" s="37"/>
      <c r="AM32" s="37"/>
      <c r="AN32" s="37"/>
      <c r="AO32" s="12"/>
      <c r="AP32" s="12"/>
      <c r="AQ32" s="14"/>
      <c r="AR32" s="13"/>
      <c r="AS32" s="13"/>
      <c r="AT32" s="13"/>
      <c r="AU32" s="14"/>
      <c r="AV32" s="13"/>
      <c r="AW32" s="13"/>
      <c r="AX32" s="30"/>
      <c r="AY32" s="18">
        <v>2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30"/>
      <c r="BV32" s="67">
        <v>1</v>
      </c>
      <c r="BW32" s="3"/>
      <c r="BX32" s="6"/>
      <c r="BY32" s="6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9"/>
      <c r="CK32" s="9"/>
      <c r="CL32" s="9"/>
      <c r="CM32" s="1"/>
      <c r="CN32" s="98">
        <v>2</v>
      </c>
      <c r="CO32" s="12"/>
      <c r="CP32" s="12"/>
      <c r="CQ32" s="12"/>
      <c r="CR32" s="12"/>
      <c r="CS32" s="12"/>
      <c r="CT32" s="12"/>
      <c r="CU32" s="12"/>
      <c r="CV32" s="13"/>
      <c r="CW32" s="13"/>
      <c r="CX32" s="12"/>
      <c r="CY32" s="14"/>
      <c r="CZ32" s="13"/>
      <c r="DA32" s="13"/>
      <c r="DB32" s="13"/>
      <c r="DC32" s="13"/>
      <c r="DD32" s="13"/>
      <c r="DE32" s="14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30"/>
      <c r="DX32" s="67">
        <v>1</v>
      </c>
      <c r="DY32" s="3"/>
      <c r="DZ32" s="3"/>
      <c r="EA32" s="3"/>
      <c r="EB32" s="8"/>
      <c r="EC32" s="8"/>
      <c r="ED32" s="6"/>
      <c r="EE32" s="6"/>
      <c r="EF32" s="6"/>
      <c r="EG32" s="7"/>
      <c r="EH32" s="7"/>
      <c r="EI32" s="7"/>
      <c r="EJ32" s="7"/>
      <c r="EK32" s="82"/>
      <c r="EL32" s="9"/>
      <c r="EM32" s="9"/>
      <c r="EN32" s="9"/>
      <c r="EO32" s="9"/>
      <c r="EP32" s="9"/>
      <c r="EQ32" s="9"/>
      <c r="ER32" s="3"/>
      <c r="ES32" s="9"/>
      <c r="ET32" s="9"/>
      <c r="EU32" s="9"/>
      <c r="EV32" s="3"/>
      <c r="EW32" s="3"/>
      <c r="EX32" s="3"/>
      <c r="EY32" s="18"/>
      <c r="EZ32" s="13"/>
      <c r="FA32" s="22"/>
      <c r="FB32" s="13"/>
      <c r="FC32" s="13"/>
      <c r="FD32" s="22"/>
      <c r="FE32" s="13"/>
      <c r="FF32" s="30"/>
      <c r="FG32" s="9"/>
      <c r="FH32" s="9"/>
      <c r="FI32" s="9"/>
      <c r="FJ32" s="3"/>
      <c r="FK32" s="9"/>
      <c r="FL32" s="9"/>
      <c r="FM32" s="9"/>
      <c r="FN32" s="9"/>
      <c r="FO32" s="9"/>
      <c r="FP32" s="9"/>
      <c r="FQ32" s="9"/>
      <c r="FR32" s="9"/>
      <c r="FS32" s="9"/>
      <c r="FT32" s="117" t="s">
        <v>330</v>
      </c>
      <c r="FU32" s="117"/>
      <c r="FV32" s="9"/>
    </row>
    <row r="33" spans="1:178" ht="22.05" customHeight="1">
      <c r="A33" s="117"/>
      <c r="B33" s="117"/>
      <c r="C33" s="9"/>
      <c r="D33" s="116" t="s">
        <v>312</v>
      </c>
      <c r="E33" s="116"/>
      <c r="F33" s="54">
        <v>1896</v>
      </c>
      <c r="H33" s="116" t="s">
        <v>312</v>
      </c>
      <c r="I33" s="116"/>
      <c r="M33" s="116" t="s">
        <v>312</v>
      </c>
      <c r="N33" s="116"/>
      <c r="O33" s="54">
        <v>1892</v>
      </c>
      <c r="P33" s="9"/>
      <c r="Q33" s="82"/>
      <c r="R33" s="3"/>
      <c r="S33" s="3"/>
      <c r="T33" s="3"/>
      <c r="U33" s="3"/>
      <c r="V33" s="3"/>
      <c r="W33" s="3"/>
      <c r="X33" s="3"/>
      <c r="Y33" s="3"/>
      <c r="Z33" s="3"/>
      <c r="AA33" s="3"/>
      <c r="AB33" s="5"/>
      <c r="AC33" s="116" t="s">
        <v>1</v>
      </c>
      <c r="AD33" s="116"/>
      <c r="AE33" s="5">
        <v>1917</v>
      </c>
      <c r="AF33" s="3"/>
      <c r="AG33" s="3"/>
      <c r="AH33" s="3"/>
      <c r="AI33" s="8"/>
      <c r="AJ33" s="8"/>
      <c r="AK33" s="6"/>
      <c r="AL33" s="1"/>
      <c r="AM33" s="1"/>
      <c r="AN33" s="1"/>
      <c r="AO33" s="2"/>
      <c r="AP33" s="2"/>
      <c r="AQ33" s="69"/>
      <c r="AR33" s="3"/>
      <c r="AS33" s="3"/>
      <c r="AT33" s="3"/>
      <c r="AU33" s="69"/>
      <c r="AV33" s="3"/>
      <c r="AW33" s="5"/>
      <c r="AX33" s="116" t="s">
        <v>1</v>
      </c>
      <c r="AY33" s="116"/>
      <c r="AZ33" s="5">
        <v>1909</v>
      </c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5"/>
      <c r="BS33" s="3"/>
      <c r="BT33" s="5"/>
      <c r="BU33" s="116" t="s">
        <v>1</v>
      </c>
      <c r="BV33" s="116"/>
      <c r="BW33" s="5">
        <v>1903</v>
      </c>
      <c r="BX33" s="6"/>
      <c r="BY33" s="6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9"/>
      <c r="CK33" s="9"/>
      <c r="CL33" s="9"/>
      <c r="CM33" s="116" t="s">
        <v>312</v>
      </c>
      <c r="CN33" s="116"/>
      <c r="CO33" s="5">
        <v>1893</v>
      </c>
      <c r="CP33" s="2"/>
      <c r="CQ33" s="2"/>
      <c r="CR33" s="2"/>
      <c r="CS33" s="2"/>
      <c r="CT33" s="2"/>
      <c r="CU33" s="2"/>
      <c r="CV33" s="3"/>
      <c r="CW33" s="3"/>
      <c r="CX33" s="2"/>
      <c r="CY33" s="69"/>
      <c r="CZ33" s="3"/>
      <c r="DA33" s="3"/>
      <c r="DB33" s="3"/>
      <c r="DC33" s="3"/>
      <c r="DD33" s="3"/>
      <c r="DE33" s="69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5"/>
      <c r="DW33" s="116" t="s">
        <v>312</v>
      </c>
      <c r="DX33" s="116"/>
      <c r="DY33" s="5">
        <v>1871</v>
      </c>
      <c r="DZ33" s="3"/>
      <c r="EA33" s="3"/>
      <c r="EB33" s="8"/>
      <c r="EC33" s="8"/>
      <c r="ED33" s="6"/>
      <c r="EE33" s="6"/>
      <c r="EF33" s="6"/>
      <c r="EG33" s="7"/>
      <c r="EH33" s="7"/>
      <c r="EI33" s="7"/>
      <c r="EJ33" s="7"/>
      <c r="EL33" s="9"/>
      <c r="EM33" s="9"/>
      <c r="EN33" s="9"/>
      <c r="EO33" s="9"/>
      <c r="EP33" s="9"/>
      <c r="EQ33" s="9"/>
      <c r="ER33" s="3"/>
      <c r="ES33" s="9"/>
      <c r="ET33" s="9"/>
      <c r="EU33" s="9"/>
      <c r="EV33" s="5"/>
      <c r="EW33" s="5"/>
      <c r="EX33" s="116" t="s">
        <v>312</v>
      </c>
      <c r="EY33" s="116"/>
      <c r="EZ33" s="5">
        <v>1886</v>
      </c>
      <c r="FA33" s="5"/>
      <c r="FB33" s="3"/>
      <c r="FC33" s="3"/>
      <c r="FD33" s="9"/>
      <c r="FE33" s="9"/>
      <c r="FF33" s="116" t="s">
        <v>312</v>
      </c>
      <c r="FG33" s="116"/>
      <c r="FH33" s="54">
        <v>1884</v>
      </c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117"/>
      <c r="FU33" s="117"/>
      <c r="FV33" s="9"/>
    </row>
    <row r="34" spans="1:178" ht="22.05" customHeight="1">
      <c r="A34" s="117"/>
      <c r="B34" s="117"/>
      <c r="C34" s="9"/>
      <c r="D34" s="4"/>
      <c r="E34" s="4"/>
      <c r="F34" s="7"/>
      <c r="H34" s="116"/>
      <c r="I34" s="116"/>
      <c r="M34" s="64"/>
      <c r="N34" s="64"/>
      <c r="O34" s="9"/>
      <c r="P34" s="9"/>
      <c r="Q34"/>
      <c r="R34" s="3"/>
      <c r="S34" s="3"/>
      <c r="T34" s="3"/>
      <c r="U34" s="3"/>
      <c r="V34" s="3"/>
      <c r="W34" s="3"/>
      <c r="X34" s="3"/>
      <c r="Y34" s="3"/>
      <c r="Z34" s="3"/>
      <c r="AA34" s="3"/>
      <c r="AB34" s="5"/>
      <c r="AC34" s="3"/>
      <c r="AD34" s="3"/>
      <c r="AE34" s="5" t="s">
        <v>4</v>
      </c>
      <c r="AF34" s="3"/>
      <c r="AG34" s="3"/>
      <c r="AH34" s="3"/>
      <c r="AI34" s="8"/>
      <c r="AJ34" s="8"/>
      <c r="AK34" s="6"/>
      <c r="AL34" s="1"/>
      <c r="AM34" s="1"/>
      <c r="AN34" s="1"/>
      <c r="AO34" s="2"/>
      <c r="AP34" s="2"/>
      <c r="AQ34" s="69"/>
      <c r="AR34" s="3"/>
      <c r="AS34" s="3"/>
      <c r="AT34" s="69"/>
      <c r="AU34" s="69"/>
      <c r="AV34" s="3"/>
      <c r="AW34" s="5"/>
      <c r="AX34" s="3"/>
      <c r="AY34" s="3"/>
      <c r="AZ34" s="5" t="s">
        <v>4</v>
      </c>
      <c r="BA34" s="69"/>
      <c r="BB34" s="3"/>
      <c r="BC34" s="69"/>
      <c r="BD34" s="3"/>
      <c r="BE34" s="3"/>
      <c r="BF34" s="69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5"/>
      <c r="BS34" s="3"/>
      <c r="BT34" s="5"/>
      <c r="BU34" s="116" t="s">
        <v>117</v>
      </c>
      <c r="BV34" s="116"/>
      <c r="BW34" s="5" t="s">
        <v>4</v>
      </c>
      <c r="BX34" s="6"/>
      <c r="BY34" s="6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9"/>
      <c r="CK34" s="9"/>
      <c r="CL34" s="9"/>
      <c r="CM34" s="116" t="s">
        <v>13</v>
      </c>
      <c r="CN34" s="116"/>
      <c r="CO34" s="5" t="s">
        <v>4</v>
      </c>
      <c r="CP34" s="2"/>
      <c r="CQ34" s="2"/>
      <c r="CR34" s="2"/>
      <c r="CS34" s="2"/>
      <c r="CT34" s="2"/>
      <c r="CU34" s="2"/>
      <c r="CV34" s="3"/>
      <c r="CW34" s="69"/>
      <c r="CX34" s="2"/>
      <c r="CY34" s="69"/>
      <c r="CZ34" s="3"/>
      <c r="DA34" s="69"/>
      <c r="DB34" s="3"/>
      <c r="DC34" s="3"/>
      <c r="DD34" s="69"/>
      <c r="DE34" s="69"/>
      <c r="DF34" s="3"/>
      <c r="DG34" s="69"/>
      <c r="DH34" s="3"/>
      <c r="DI34" s="3"/>
      <c r="DJ34" s="69"/>
      <c r="DK34" s="69"/>
      <c r="DL34" s="3"/>
      <c r="DM34" s="69"/>
      <c r="DN34" s="3"/>
      <c r="DO34" s="3"/>
      <c r="DP34" s="69"/>
      <c r="DQ34" s="3"/>
      <c r="DR34" s="3"/>
      <c r="DS34" s="3"/>
      <c r="DT34" s="3"/>
      <c r="DU34" s="3"/>
      <c r="DV34" s="5"/>
      <c r="DW34" s="116" t="s">
        <v>14</v>
      </c>
      <c r="DX34" s="116"/>
      <c r="DY34" s="5" t="s">
        <v>4</v>
      </c>
      <c r="DZ34" s="3"/>
      <c r="EA34" s="3"/>
      <c r="EB34" s="8"/>
      <c r="EC34" s="8"/>
      <c r="ED34" s="6"/>
      <c r="EE34" s="6"/>
      <c r="EF34" s="6"/>
      <c r="EG34" s="7"/>
      <c r="EH34" s="7"/>
      <c r="EI34" s="7"/>
      <c r="EJ34" s="7"/>
      <c r="EL34" s="9"/>
      <c r="EM34" s="9"/>
      <c r="EN34" s="9"/>
      <c r="EO34" s="9"/>
      <c r="EP34" s="9"/>
      <c r="EQ34" s="9"/>
      <c r="ER34" s="3"/>
      <c r="ES34" s="9"/>
      <c r="ET34" s="9"/>
      <c r="EU34" s="9"/>
      <c r="EV34" s="5"/>
      <c r="EW34" s="5"/>
      <c r="EX34" s="3"/>
      <c r="EY34" s="3"/>
      <c r="EZ34" s="54" t="s">
        <v>4</v>
      </c>
      <c r="FA34" s="5"/>
      <c r="FB34" s="3"/>
      <c r="FC34" s="3"/>
      <c r="FD34" s="9"/>
      <c r="FE34" s="9"/>
      <c r="FF34" s="116"/>
      <c r="FG34" s="116"/>
      <c r="FH34" s="54" t="s">
        <v>4</v>
      </c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117"/>
      <c r="FU34" s="117"/>
      <c r="FV34" s="9"/>
    </row>
    <row r="35" spans="1:178" ht="22.05" customHeight="1">
      <c r="A35" s="117"/>
      <c r="B35" s="117"/>
      <c r="C35" s="9"/>
      <c r="D35" s="116" t="s">
        <v>318</v>
      </c>
      <c r="E35" s="116"/>
      <c r="F35" s="7"/>
      <c r="H35" s="116" t="s">
        <v>319</v>
      </c>
      <c r="I35" s="116"/>
      <c r="M35" s="116" t="s">
        <v>317</v>
      </c>
      <c r="N35" s="116"/>
      <c r="O35" s="9"/>
      <c r="P35" s="9"/>
      <c r="Q35"/>
      <c r="R35" s="3"/>
      <c r="S35" s="3"/>
      <c r="T35" s="3"/>
      <c r="U35" s="3"/>
      <c r="V35" s="3"/>
      <c r="W35" s="3"/>
      <c r="X35" s="3"/>
      <c r="Y35" s="3"/>
      <c r="Z35" s="3"/>
      <c r="AA35" s="3"/>
      <c r="AB35" s="5"/>
      <c r="AC35" s="116" t="s">
        <v>119</v>
      </c>
      <c r="AD35" s="116"/>
      <c r="AE35" s="5">
        <v>2002</v>
      </c>
      <c r="AF35" s="3"/>
      <c r="AG35" s="3"/>
      <c r="AH35" s="3"/>
      <c r="AI35" s="8"/>
      <c r="AJ35" s="8"/>
      <c r="AK35" s="6"/>
      <c r="AL35" s="1"/>
      <c r="AM35" s="1"/>
      <c r="AN35" s="1"/>
      <c r="AO35" s="2"/>
      <c r="AP35" s="2"/>
      <c r="AQ35" s="69"/>
      <c r="AR35" s="3"/>
      <c r="AS35" s="3"/>
      <c r="AT35" s="3"/>
      <c r="AU35" s="69"/>
      <c r="AV35" s="3"/>
      <c r="AW35" s="5"/>
      <c r="AX35" s="116" t="s">
        <v>121</v>
      </c>
      <c r="AY35" s="116"/>
      <c r="AZ35" s="5">
        <v>2009</v>
      </c>
      <c r="BA35" s="3"/>
      <c r="BB35" s="116"/>
      <c r="BC35" s="116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5"/>
      <c r="BS35" s="3"/>
      <c r="BT35" s="5"/>
      <c r="BU35" s="116" t="s">
        <v>123</v>
      </c>
      <c r="BV35" s="116"/>
      <c r="BW35" s="5">
        <v>2009</v>
      </c>
      <c r="BX35" s="6"/>
      <c r="BY35" s="6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9"/>
      <c r="CK35" s="9"/>
      <c r="CL35" s="9"/>
      <c r="CM35" s="116" t="s">
        <v>15</v>
      </c>
      <c r="CN35" s="116"/>
      <c r="CO35" s="5">
        <v>1949</v>
      </c>
      <c r="CP35" s="2"/>
      <c r="CQ35" s="2"/>
      <c r="CR35" s="2"/>
      <c r="CS35" s="2"/>
      <c r="CT35" s="2"/>
      <c r="CU35" s="2"/>
      <c r="CV35" s="3"/>
      <c r="CW35" s="3"/>
      <c r="CX35" s="2"/>
      <c r="CY35" s="69"/>
      <c r="CZ35" s="3"/>
      <c r="DA35" s="3"/>
      <c r="DB35" s="3"/>
      <c r="DC35" s="3"/>
      <c r="DD35" s="3"/>
      <c r="DE35" s="69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5"/>
      <c r="DW35" s="116" t="s">
        <v>17</v>
      </c>
      <c r="DX35" s="116"/>
      <c r="DY35" s="5">
        <v>1948</v>
      </c>
      <c r="DZ35" s="3"/>
      <c r="EA35" s="3"/>
      <c r="EB35" s="8"/>
      <c r="EC35" s="8"/>
      <c r="ED35" s="6"/>
      <c r="EE35" s="6"/>
      <c r="EF35" s="6"/>
      <c r="EG35" s="7"/>
      <c r="EH35" s="7"/>
      <c r="EI35" s="7"/>
      <c r="EJ35" s="7"/>
      <c r="EL35" s="9"/>
      <c r="EM35" s="9"/>
      <c r="EN35" s="9"/>
      <c r="EO35" s="9"/>
      <c r="EP35" s="9"/>
      <c r="EQ35" s="9"/>
      <c r="ER35" s="3"/>
      <c r="ES35" s="25"/>
      <c r="ET35" s="25"/>
      <c r="EU35" s="25"/>
      <c r="EV35" s="5"/>
      <c r="EW35" s="5"/>
      <c r="EX35" s="116" t="s">
        <v>295</v>
      </c>
      <c r="EY35" s="116"/>
      <c r="EZ35" s="5">
        <v>1956</v>
      </c>
      <c r="FA35" s="5"/>
      <c r="FB35" s="3"/>
      <c r="FC35" s="3"/>
      <c r="FD35" s="9"/>
      <c r="FE35" s="9"/>
      <c r="FF35" s="116" t="s">
        <v>296</v>
      </c>
      <c r="FG35" s="116"/>
      <c r="FH35" s="54">
        <v>1910</v>
      </c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117"/>
      <c r="FU35" s="117"/>
      <c r="FV35" s="9"/>
    </row>
    <row r="36" spans="1:178" ht="22.05" customHeight="1">
      <c r="A36" s="117"/>
      <c r="B36" s="117"/>
      <c r="D36" s="58"/>
      <c r="E36" s="9"/>
      <c r="F36" s="7"/>
      <c r="H36" s="58"/>
      <c r="I36" s="9"/>
      <c r="M36" s="58"/>
      <c r="N36" s="9"/>
      <c r="O36" s="9"/>
      <c r="P36" s="9"/>
      <c r="Q36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8"/>
      <c r="AJ36" s="8"/>
      <c r="AK36" s="6"/>
      <c r="AL36" s="1"/>
      <c r="AM36" s="1"/>
      <c r="AN36" s="1"/>
      <c r="AO36" s="2"/>
      <c r="AP36" s="2"/>
      <c r="AQ36" s="69"/>
      <c r="AR36" s="3"/>
      <c r="AS36" s="3"/>
      <c r="AT36" s="3"/>
      <c r="AU36" s="69"/>
      <c r="AV36" s="3"/>
      <c r="AW36" s="3"/>
      <c r="AX36" s="3"/>
      <c r="AY36" s="10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8"/>
      <c r="BU36" s="8"/>
      <c r="BV36" s="38"/>
      <c r="BW36" s="6"/>
      <c r="BX36" s="6"/>
      <c r="BY36" s="6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9"/>
      <c r="CK36" s="9"/>
      <c r="CL36" s="9"/>
      <c r="CM36" s="1"/>
      <c r="CN36" s="15"/>
      <c r="CO36" s="2"/>
      <c r="CP36" s="2"/>
      <c r="CQ36" s="2"/>
      <c r="CR36" s="2"/>
      <c r="CS36" s="2"/>
      <c r="CT36" s="2"/>
      <c r="CU36" s="2"/>
      <c r="CV36" s="3"/>
      <c r="CW36" s="3"/>
      <c r="CX36" s="2"/>
      <c r="CY36" s="69"/>
      <c r="CZ36" s="3"/>
      <c r="DA36" s="3"/>
      <c r="DB36" s="3"/>
      <c r="DC36" s="3"/>
      <c r="DD36" s="3"/>
      <c r="DE36" s="69"/>
      <c r="DF36" s="3"/>
      <c r="DG36" s="3"/>
      <c r="DH36" s="3"/>
      <c r="DI36" s="3"/>
      <c r="DJ36" s="3"/>
      <c r="DK36" s="3"/>
      <c r="DL36" s="3"/>
      <c r="DM36" s="16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10"/>
      <c r="DY36" s="3"/>
      <c r="DZ36" s="16"/>
      <c r="EA36" s="3"/>
      <c r="EB36" s="8"/>
      <c r="EC36" s="8"/>
      <c r="ED36" s="6"/>
      <c r="EE36" s="6"/>
      <c r="EF36" s="6"/>
      <c r="EG36" s="7"/>
      <c r="EH36" s="7"/>
      <c r="EI36" s="7"/>
      <c r="EJ36" s="7"/>
      <c r="EL36" s="9"/>
      <c r="EM36" s="9"/>
      <c r="EN36" s="55"/>
      <c r="EO36" s="55"/>
      <c r="EP36" s="55"/>
      <c r="EQ36" s="55"/>
      <c r="ER36" s="16"/>
      <c r="ES36" s="56"/>
      <c r="ET36" s="56"/>
      <c r="EU36" s="56"/>
      <c r="EV36" s="16"/>
      <c r="EW36" s="16"/>
      <c r="EX36" s="16"/>
      <c r="EY36" s="28"/>
      <c r="EZ36" s="16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/>
      <c r="FL36" s="55"/>
      <c r="FM36" s="55"/>
      <c r="FN36" s="55"/>
      <c r="FO36" s="55"/>
      <c r="FP36" s="9"/>
      <c r="FQ36" s="9"/>
      <c r="FR36" s="9"/>
      <c r="FS36" s="9"/>
      <c r="FT36" s="117"/>
      <c r="FU36" s="117"/>
    </row>
    <row r="37" spans="1:178" ht="22.05" customHeight="1">
      <c r="A37" s="122" t="s">
        <v>331</v>
      </c>
      <c r="B37" s="123"/>
      <c r="E37" s="31"/>
      <c r="F37" s="7"/>
      <c r="H37" s="3"/>
      <c r="I37" s="31"/>
      <c r="N37" s="31"/>
      <c r="O37" s="9"/>
      <c r="P37" s="9"/>
      <c r="Q37"/>
      <c r="R37" s="3"/>
      <c r="S37" s="3"/>
      <c r="T37" s="3"/>
      <c r="U37" s="3"/>
      <c r="V37" s="18"/>
      <c r="W37" s="13"/>
      <c r="X37" s="13"/>
      <c r="Y37" s="13"/>
      <c r="Z37" s="18"/>
      <c r="AA37" s="13"/>
      <c r="AB37" s="30"/>
      <c r="AC37" s="18"/>
      <c r="AD37" s="13"/>
      <c r="AE37" s="13"/>
      <c r="AF37" s="18"/>
      <c r="AG37" s="13"/>
      <c r="AH37" s="13"/>
      <c r="AI37" s="18"/>
      <c r="AJ37" s="20"/>
      <c r="AK37" s="21"/>
      <c r="AL37" s="39"/>
      <c r="AM37" s="15"/>
      <c r="AN37" s="1"/>
      <c r="AO37" s="2"/>
      <c r="AP37" s="3"/>
      <c r="AQ37" s="18"/>
      <c r="AR37" s="13"/>
      <c r="AS37" s="13"/>
      <c r="AT37" s="30"/>
      <c r="AU37" s="18"/>
      <c r="AV37" s="13"/>
      <c r="AW37" s="13"/>
      <c r="AX37" s="30"/>
      <c r="AY37" s="18"/>
      <c r="AZ37" s="13"/>
      <c r="BA37" s="13"/>
      <c r="BB37" s="13"/>
      <c r="BC37" s="18"/>
      <c r="BD37" s="13"/>
      <c r="BE37" s="13"/>
      <c r="BF37" s="30"/>
      <c r="BG37" s="10"/>
      <c r="BH37" s="83"/>
      <c r="BI37" s="3"/>
      <c r="BJ37" s="18"/>
      <c r="BK37" s="13"/>
      <c r="BL37" s="13"/>
      <c r="BM37" s="18"/>
      <c r="BN37" s="13"/>
      <c r="BO37" s="13"/>
      <c r="BP37" s="18"/>
      <c r="BQ37" s="13"/>
      <c r="BR37" s="13"/>
      <c r="BS37" s="13"/>
      <c r="BT37" s="20"/>
      <c r="BU37" s="20"/>
      <c r="BV37" s="21"/>
      <c r="BW37" s="21"/>
      <c r="BX37" s="13"/>
      <c r="BY37" s="18"/>
      <c r="BZ37" s="22"/>
      <c r="CA37" s="22"/>
      <c r="CB37" s="22"/>
      <c r="CC37" s="22"/>
      <c r="CD37" s="22"/>
      <c r="CE37" s="22"/>
      <c r="CF37" s="30"/>
      <c r="CG37" s="10"/>
      <c r="CH37" s="7"/>
      <c r="CI37" s="7"/>
      <c r="CJ37" s="9"/>
      <c r="CK37" s="9"/>
      <c r="CL37" s="9"/>
      <c r="CM37" s="2"/>
      <c r="CN37" s="17"/>
      <c r="CO37" s="2"/>
      <c r="CP37" s="2"/>
      <c r="CQ37" s="2"/>
      <c r="CR37" s="2"/>
      <c r="CS37" s="2"/>
      <c r="CT37" s="2"/>
      <c r="CU37" s="2"/>
      <c r="CV37" s="18"/>
      <c r="CW37" s="19"/>
      <c r="CX37" s="12"/>
      <c r="CY37" s="13"/>
      <c r="CZ37" s="13"/>
      <c r="DA37" s="19"/>
      <c r="DB37" s="13"/>
      <c r="DC37" s="14"/>
      <c r="DD37" s="13"/>
      <c r="DE37" s="13"/>
      <c r="DF37" s="14"/>
      <c r="DG37" s="13"/>
      <c r="DH37" s="13"/>
      <c r="DI37" s="13"/>
      <c r="DJ37" s="14"/>
      <c r="DK37" s="13"/>
      <c r="DL37" s="13"/>
      <c r="DM37" s="13"/>
      <c r="DN37" s="18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0"/>
      <c r="EA37" s="13"/>
      <c r="EB37" s="20"/>
      <c r="EC37" s="20"/>
      <c r="ED37" s="21"/>
      <c r="EE37" s="21"/>
      <c r="EF37" s="21"/>
      <c r="EG37" s="22"/>
      <c r="EH37" s="22"/>
      <c r="EI37" s="23"/>
      <c r="EJ37" s="7"/>
      <c r="EL37" s="9"/>
      <c r="EM37" s="9"/>
      <c r="EN37" s="57"/>
      <c r="EO37" s="9"/>
      <c r="EP37" s="9"/>
      <c r="EQ37" s="9"/>
      <c r="ER37" s="57"/>
      <c r="ES37" s="9"/>
      <c r="ET37" s="9"/>
      <c r="EU37" s="9"/>
      <c r="EV37" s="57"/>
      <c r="EW37" s="9"/>
      <c r="EX37" s="9"/>
      <c r="EY37" s="57"/>
      <c r="EZ37" s="3"/>
      <c r="FA37" s="9"/>
      <c r="FB37" s="9"/>
      <c r="FC37" s="57"/>
      <c r="FD37" s="3"/>
      <c r="FE37" s="9"/>
      <c r="FF37" s="9"/>
      <c r="FG37" s="57"/>
      <c r="FH37" s="3"/>
      <c r="FI37" s="9"/>
      <c r="FJ37" s="9"/>
      <c r="FK37" s="57"/>
      <c r="FL37" s="3"/>
      <c r="FM37" s="9"/>
      <c r="FN37" s="9"/>
      <c r="FO37" s="9"/>
      <c r="FP37" s="31"/>
      <c r="FQ37" s="3"/>
      <c r="FR37" s="9"/>
      <c r="FS37" s="9"/>
      <c r="FT37" s="122" t="s">
        <v>331</v>
      </c>
      <c r="FU37" s="123"/>
    </row>
    <row r="38" spans="1:178" ht="22.05" customHeight="1">
      <c r="A38" s="124"/>
      <c r="B38" s="125"/>
      <c r="D38" s="116" t="s">
        <v>312</v>
      </c>
      <c r="E38" s="116"/>
      <c r="F38" s="54">
        <v>1925</v>
      </c>
      <c r="H38" s="116" t="s">
        <v>312</v>
      </c>
      <c r="I38" s="116"/>
      <c r="J38" s="54">
        <f>1911+16</f>
        <v>1927</v>
      </c>
      <c r="M38" s="116" t="s">
        <v>312</v>
      </c>
      <c r="N38" s="116"/>
      <c r="O38" s="54">
        <f>1911+15</f>
        <v>1926</v>
      </c>
      <c r="P38" s="9"/>
      <c r="Q38"/>
      <c r="R38" s="3"/>
      <c r="S38" s="3"/>
      <c r="T38" s="3"/>
      <c r="U38" s="116" t="s">
        <v>1</v>
      </c>
      <c r="V38" s="116"/>
      <c r="W38" s="3"/>
      <c r="X38" s="3"/>
      <c r="Y38" s="116" t="s">
        <v>1</v>
      </c>
      <c r="Z38" s="116"/>
      <c r="AA38" s="3"/>
      <c r="AB38" s="116" t="s">
        <v>1</v>
      </c>
      <c r="AC38" s="116"/>
      <c r="AD38" s="3"/>
      <c r="AE38" s="116" t="s">
        <v>1</v>
      </c>
      <c r="AF38" s="116"/>
      <c r="AG38" s="3"/>
      <c r="AH38" s="116" t="s">
        <v>1</v>
      </c>
      <c r="AI38" s="116"/>
      <c r="AJ38" s="8"/>
      <c r="AK38" s="2"/>
      <c r="AL38" s="116" t="s">
        <v>1</v>
      </c>
      <c r="AM38" s="116"/>
      <c r="AN38" s="3"/>
      <c r="AO38" s="2"/>
      <c r="AP38" s="116" t="s">
        <v>1</v>
      </c>
      <c r="AQ38" s="116"/>
      <c r="AR38" s="3"/>
      <c r="AS38" s="3"/>
      <c r="AT38" s="116" t="s">
        <v>1</v>
      </c>
      <c r="AU38" s="116"/>
      <c r="AV38" s="3"/>
      <c r="AW38" s="3"/>
      <c r="AX38" s="116" t="s">
        <v>1</v>
      </c>
      <c r="AY38" s="116"/>
      <c r="AZ38" s="3"/>
      <c r="BA38" s="3"/>
      <c r="BB38" s="116" t="s">
        <v>1</v>
      </c>
      <c r="BC38" s="116"/>
      <c r="BD38" s="3"/>
      <c r="BE38" s="3"/>
      <c r="BF38" s="116" t="s">
        <v>1</v>
      </c>
      <c r="BG38" s="116"/>
      <c r="BH38" s="69"/>
      <c r="BI38" s="116" t="s">
        <v>1</v>
      </c>
      <c r="BJ38" s="116"/>
      <c r="BK38" s="87">
        <v>1951</v>
      </c>
      <c r="BL38" s="116" t="s">
        <v>1</v>
      </c>
      <c r="BM38" s="116"/>
      <c r="BN38" s="80">
        <v>1949</v>
      </c>
      <c r="BO38" s="116" t="s">
        <v>1</v>
      </c>
      <c r="BP38" s="116"/>
      <c r="BQ38" s="80">
        <v>1946</v>
      </c>
      <c r="BR38" s="3"/>
      <c r="BS38" s="3"/>
      <c r="BT38" s="8"/>
      <c r="BU38" s="8"/>
      <c r="BV38" s="6"/>
      <c r="BW38" s="6"/>
      <c r="BX38" s="116" t="s">
        <v>1</v>
      </c>
      <c r="BY38" s="116"/>
      <c r="BZ38" s="80">
        <v>1925</v>
      </c>
      <c r="CA38" s="7"/>
      <c r="CB38" s="7"/>
      <c r="CC38" s="7"/>
      <c r="CD38" s="7"/>
      <c r="CE38" s="7"/>
      <c r="CF38" s="116" t="s">
        <v>1</v>
      </c>
      <c r="CG38" s="116"/>
      <c r="CH38" s="80">
        <v>1922</v>
      </c>
      <c r="CI38" s="7"/>
      <c r="CJ38" s="9"/>
      <c r="CK38" s="9"/>
      <c r="CL38" s="9"/>
      <c r="CM38" s="116" t="s">
        <v>1</v>
      </c>
      <c r="CN38" s="116"/>
      <c r="CO38" s="2"/>
      <c r="CP38" s="2"/>
      <c r="CQ38" s="2"/>
      <c r="CR38" s="2"/>
      <c r="CS38" s="2"/>
      <c r="CT38" s="5"/>
      <c r="CU38" s="116" t="s">
        <v>1</v>
      </c>
      <c r="CV38" s="116"/>
      <c r="CW38" s="5">
        <v>1917</v>
      </c>
      <c r="CX38" s="2"/>
      <c r="CY38" s="3"/>
      <c r="CZ38" s="3"/>
      <c r="DA38" s="9"/>
      <c r="DB38" s="69"/>
      <c r="DC38" s="69"/>
      <c r="DD38" s="3"/>
      <c r="DE38" s="69"/>
      <c r="DF38" s="69"/>
      <c r="DG38" s="3"/>
      <c r="DH38" s="3"/>
      <c r="DI38" s="69"/>
      <c r="DJ38" s="69"/>
      <c r="DK38" s="3"/>
      <c r="DL38" s="5"/>
      <c r="DM38" s="116" t="s">
        <v>1</v>
      </c>
      <c r="DN38" s="116"/>
      <c r="DO38" s="54">
        <v>1910</v>
      </c>
      <c r="DP38" s="3"/>
      <c r="DQ38" s="3"/>
      <c r="DR38" s="3"/>
      <c r="DS38" s="3"/>
      <c r="DT38" s="3"/>
      <c r="DU38" s="3"/>
      <c r="DV38" s="3"/>
      <c r="DW38" s="3"/>
      <c r="DX38" s="5"/>
      <c r="DY38" s="116" t="s">
        <v>1</v>
      </c>
      <c r="DZ38" s="116"/>
      <c r="EA38" s="54">
        <v>1906</v>
      </c>
      <c r="EB38" s="8"/>
      <c r="EC38" s="8"/>
      <c r="ED38" s="6"/>
      <c r="EE38" s="6"/>
      <c r="EF38" s="6"/>
      <c r="EG38" s="5"/>
      <c r="EH38" s="116" t="s">
        <v>1</v>
      </c>
      <c r="EI38" s="116"/>
      <c r="EJ38" s="54">
        <v>1899</v>
      </c>
      <c r="EL38" s="3"/>
      <c r="EM38" s="116" t="s">
        <v>312</v>
      </c>
      <c r="EN38" s="116"/>
      <c r="EO38" s="54">
        <v>1938</v>
      </c>
      <c r="EP38" s="3"/>
      <c r="EQ38" s="116" t="s">
        <v>312</v>
      </c>
      <c r="ER38" s="116"/>
      <c r="ES38" s="54">
        <f>22+1911</f>
        <v>1933</v>
      </c>
      <c r="ET38" s="3"/>
      <c r="EU38" s="116" t="s">
        <v>312</v>
      </c>
      <c r="EV38" s="116"/>
      <c r="EW38" s="69"/>
      <c r="EX38" s="116" t="s">
        <v>312</v>
      </c>
      <c r="EY38" s="116"/>
      <c r="EZ38" s="54">
        <f>14+1911</f>
        <v>1925</v>
      </c>
      <c r="FA38" s="3"/>
      <c r="FB38" s="116" t="s">
        <v>312</v>
      </c>
      <c r="FC38" s="116"/>
      <c r="FD38" s="54">
        <f>1911+11</f>
        <v>1922</v>
      </c>
      <c r="FE38" s="3"/>
      <c r="FF38" s="116" t="s">
        <v>312</v>
      </c>
      <c r="FG38" s="116"/>
      <c r="FH38" s="54">
        <f>1911+8</f>
        <v>1919</v>
      </c>
      <c r="FI38" s="3"/>
      <c r="FJ38" s="116" t="s">
        <v>312</v>
      </c>
      <c r="FK38" s="116"/>
      <c r="FL38" s="54">
        <f>1911+5</f>
        <v>1916</v>
      </c>
      <c r="FM38" s="3"/>
      <c r="FN38" s="9"/>
      <c r="FO38" s="116" t="s">
        <v>312</v>
      </c>
      <c r="FP38" s="116"/>
      <c r="FQ38" s="54">
        <f>1912</f>
        <v>1912</v>
      </c>
      <c r="FR38" s="3"/>
      <c r="FS38" s="3"/>
      <c r="FT38" s="124"/>
      <c r="FU38" s="125"/>
    </row>
    <row r="39" spans="1:178" ht="22.05" customHeight="1">
      <c r="A39" s="124"/>
      <c r="B39" s="125"/>
      <c r="D39" s="116" t="s">
        <v>220</v>
      </c>
      <c r="E39" s="116"/>
      <c r="F39" s="7"/>
      <c r="H39" s="116" t="s">
        <v>296</v>
      </c>
      <c r="I39" s="116"/>
      <c r="M39" s="116" t="s">
        <v>320</v>
      </c>
      <c r="N39" s="116"/>
      <c r="O39" s="9"/>
      <c r="P39" s="9"/>
      <c r="Q39"/>
      <c r="R39" s="3"/>
      <c r="S39" s="3"/>
      <c r="T39" s="3"/>
      <c r="U39" s="116" t="s">
        <v>124</v>
      </c>
      <c r="V39" s="116"/>
      <c r="W39" s="3"/>
      <c r="X39" s="3"/>
      <c r="Y39" s="116" t="s">
        <v>125</v>
      </c>
      <c r="Z39" s="116"/>
      <c r="AA39" s="3"/>
      <c r="AB39" s="116" t="s">
        <v>126</v>
      </c>
      <c r="AC39" s="116"/>
      <c r="AD39" s="3"/>
      <c r="AE39" s="116" t="s">
        <v>127</v>
      </c>
      <c r="AF39" s="116"/>
      <c r="AG39" s="3"/>
      <c r="AH39" s="116" t="s">
        <v>128</v>
      </c>
      <c r="AI39" s="116"/>
      <c r="AJ39" s="8"/>
      <c r="AK39" s="2"/>
      <c r="AL39" s="116" t="s">
        <v>129</v>
      </c>
      <c r="AM39" s="116"/>
      <c r="AN39" s="69"/>
      <c r="AO39" s="2"/>
      <c r="AP39" s="116" t="s">
        <v>75</v>
      </c>
      <c r="AQ39" s="116"/>
      <c r="AR39" s="69"/>
      <c r="AS39" s="3"/>
      <c r="AT39" s="116" t="s">
        <v>130</v>
      </c>
      <c r="AU39" s="116"/>
      <c r="AV39" s="3"/>
      <c r="AW39" s="3"/>
      <c r="AX39" s="116" t="s">
        <v>41</v>
      </c>
      <c r="AY39" s="116"/>
      <c r="AZ39" s="3"/>
      <c r="BA39" s="3"/>
      <c r="BB39" s="116" t="s">
        <v>131</v>
      </c>
      <c r="BC39" s="116"/>
      <c r="BD39" s="3"/>
      <c r="BE39" s="3"/>
      <c r="BF39" s="116" t="s">
        <v>131</v>
      </c>
      <c r="BG39" s="116"/>
      <c r="BH39" s="69"/>
      <c r="BI39" s="116" t="s">
        <v>130</v>
      </c>
      <c r="BJ39" s="116"/>
      <c r="BK39" s="87" t="s">
        <v>4</v>
      </c>
      <c r="BL39" s="116" t="s">
        <v>130</v>
      </c>
      <c r="BM39" s="116"/>
      <c r="BN39" s="3"/>
      <c r="BO39" s="116" t="s">
        <v>130</v>
      </c>
      <c r="BP39" s="116"/>
      <c r="BQ39" s="3"/>
      <c r="BR39" s="3"/>
      <c r="BS39" s="3"/>
      <c r="BT39" s="8"/>
      <c r="BU39" s="8"/>
      <c r="BV39" s="6"/>
      <c r="BW39" s="6"/>
      <c r="BX39" s="116" t="s">
        <v>132</v>
      </c>
      <c r="BY39" s="116"/>
      <c r="BZ39" s="80" t="s">
        <v>4</v>
      </c>
      <c r="CA39" s="7"/>
      <c r="CB39" s="7"/>
      <c r="CC39" s="7"/>
      <c r="CD39" s="7"/>
      <c r="CE39" s="7"/>
      <c r="CF39" s="116"/>
      <c r="CG39" s="116"/>
      <c r="CH39" s="80" t="s">
        <v>4</v>
      </c>
      <c r="CI39" s="7"/>
      <c r="CJ39" s="9"/>
      <c r="CK39" s="9"/>
      <c r="CL39" s="9"/>
      <c r="CM39" s="116" t="s">
        <v>19</v>
      </c>
      <c r="CN39" s="116"/>
      <c r="CO39" s="2"/>
      <c r="CP39" s="2"/>
      <c r="CQ39" s="2"/>
      <c r="CR39" s="2"/>
      <c r="CS39" s="2"/>
      <c r="CT39" s="5"/>
      <c r="CU39" s="3"/>
      <c r="CV39" s="3"/>
      <c r="CW39" s="5" t="s">
        <v>4</v>
      </c>
      <c r="CX39" s="2"/>
      <c r="CY39" s="3"/>
      <c r="CZ39" s="3"/>
      <c r="DA39" s="9"/>
      <c r="DB39" s="3"/>
      <c r="DC39" s="69"/>
      <c r="DD39" s="3"/>
      <c r="DE39" s="3"/>
      <c r="DF39" s="69"/>
      <c r="DG39" s="3"/>
      <c r="DH39" s="3"/>
      <c r="DI39" s="3"/>
      <c r="DJ39" s="69"/>
      <c r="DK39" s="3"/>
      <c r="DL39" s="5"/>
      <c r="DM39" s="3"/>
      <c r="DN39" s="3"/>
      <c r="DO39" s="54" t="s">
        <v>4</v>
      </c>
      <c r="DP39" s="3"/>
      <c r="DQ39" s="69"/>
      <c r="DR39" s="3"/>
      <c r="DS39" s="3"/>
      <c r="DT39" s="3"/>
      <c r="DU39" s="3"/>
      <c r="DV39" s="3"/>
      <c r="DW39" s="3"/>
      <c r="DX39" s="5"/>
      <c r="DY39" s="116" t="s">
        <v>22</v>
      </c>
      <c r="DZ39" s="116"/>
      <c r="EA39" s="54" t="s">
        <v>4</v>
      </c>
      <c r="EB39" s="8"/>
      <c r="EC39" s="8"/>
      <c r="ED39" s="6"/>
      <c r="EE39" s="6"/>
      <c r="EF39" s="6"/>
      <c r="EG39" s="5"/>
      <c r="EH39" s="116" t="s">
        <v>23</v>
      </c>
      <c r="EI39" s="116"/>
      <c r="EJ39" s="54" t="s">
        <v>4</v>
      </c>
      <c r="EL39" s="3"/>
      <c r="EM39" s="116" t="s">
        <v>297</v>
      </c>
      <c r="EN39" s="116"/>
      <c r="EO39" s="54" t="s">
        <v>4</v>
      </c>
      <c r="EP39" s="3"/>
      <c r="EQ39" s="116" t="s">
        <v>76</v>
      </c>
      <c r="ER39" s="116"/>
      <c r="ES39" s="54" t="s">
        <v>4</v>
      </c>
      <c r="ET39" s="3"/>
      <c r="EU39" s="116" t="s">
        <v>76</v>
      </c>
      <c r="EV39" s="116"/>
      <c r="EW39" s="69"/>
      <c r="EX39" s="116" t="s">
        <v>76</v>
      </c>
      <c r="EY39" s="116"/>
      <c r="EZ39" s="54" t="s">
        <v>4</v>
      </c>
      <c r="FA39" s="3"/>
      <c r="FB39" s="116" t="s">
        <v>76</v>
      </c>
      <c r="FC39" s="116"/>
      <c r="FD39" s="54" t="s">
        <v>4</v>
      </c>
      <c r="FE39" s="3"/>
      <c r="FF39" s="116" t="s">
        <v>76</v>
      </c>
      <c r="FG39" s="116"/>
      <c r="FH39" s="54" t="s">
        <v>4</v>
      </c>
      <c r="FI39" s="3"/>
      <c r="FJ39" s="116" t="s">
        <v>298</v>
      </c>
      <c r="FK39" s="116"/>
      <c r="FL39" s="54" t="s">
        <v>4</v>
      </c>
      <c r="FM39" s="3"/>
      <c r="FN39" s="9"/>
      <c r="FO39" s="116" t="s">
        <v>76</v>
      </c>
      <c r="FP39" s="116"/>
      <c r="FQ39" s="54" t="s">
        <v>4</v>
      </c>
      <c r="FR39" s="3"/>
      <c r="FS39" s="3"/>
      <c r="FT39" s="124"/>
      <c r="FU39" s="125"/>
    </row>
    <row r="40" spans="1:178" ht="22.05" customHeight="1">
      <c r="A40" s="124"/>
      <c r="B40" s="125"/>
      <c r="D40" s="116" t="s">
        <v>358</v>
      </c>
      <c r="E40" s="116"/>
      <c r="F40" s="7"/>
      <c r="H40" s="116" t="s">
        <v>321</v>
      </c>
      <c r="I40" s="116"/>
      <c r="M40" s="116" t="s">
        <v>357</v>
      </c>
      <c r="N40" s="116"/>
      <c r="O40" s="9"/>
      <c r="P40" s="9"/>
      <c r="Q40"/>
      <c r="R40" s="3"/>
      <c r="S40" s="3"/>
      <c r="T40" s="3"/>
      <c r="U40" s="116" t="s">
        <v>133</v>
      </c>
      <c r="V40" s="116"/>
      <c r="W40" s="3"/>
      <c r="X40" s="3"/>
      <c r="Y40" s="116" t="s">
        <v>134</v>
      </c>
      <c r="Z40" s="116"/>
      <c r="AA40" s="3"/>
      <c r="AB40" s="116" t="s">
        <v>135</v>
      </c>
      <c r="AC40" s="116"/>
      <c r="AD40" s="3"/>
      <c r="AE40" s="116" t="s">
        <v>136</v>
      </c>
      <c r="AF40" s="116"/>
      <c r="AG40" s="3"/>
      <c r="AH40" s="116" t="s">
        <v>137</v>
      </c>
      <c r="AI40" s="116"/>
      <c r="AJ40" s="8"/>
      <c r="AK40" s="2"/>
      <c r="AL40" s="116" t="s">
        <v>138</v>
      </c>
      <c r="AM40" s="116"/>
      <c r="AN40" s="69"/>
      <c r="AO40" s="2"/>
      <c r="AP40" s="116" t="s">
        <v>139</v>
      </c>
      <c r="AQ40" s="116"/>
      <c r="AR40" s="69"/>
      <c r="AS40" s="3"/>
      <c r="AT40" s="116" t="s">
        <v>12</v>
      </c>
      <c r="AU40" s="116"/>
      <c r="AV40" s="3"/>
      <c r="AW40" s="3"/>
      <c r="AX40" s="116" t="s">
        <v>140</v>
      </c>
      <c r="AY40" s="116"/>
      <c r="AZ40" s="3"/>
      <c r="BA40" s="3"/>
      <c r="BB40" s="116" t="s">
        <v>141</v>
      </c>
      <c r="BC40" s="116"/>
      <c r="BD40" s="3"/>
      <c r="BE40" s="3"/>
      <c r="BF40" s="116" t="s">
        <v>142</v>
      </c>
      <c r="BG40" s="116"/>
      <c r="BH40" s="69"/>
      <c r="BI40" s="116" t="s">
        <v>143</v>
      </c>
      <c r="BJ40" s="116"/>
      <c r="BK40" s="87">
        <v>1973</v>
      </c>
      <c r="BL40" s="116" t="s">
        <v>144</v>
      </c>
      <c r="BM40" s="116"/>
      <c r="BN40" s="3"/>
      <c r="BO40" s="116" t="s">
        <v>43</v>
      </c>
      <c r="BP40" s="116"/>
      <c r="BQ40" s="3"/>
      <c r="BR40" s="3"/>
      <c r="BS40" s="3"/>
      <c r="BT40" s="8"/>
      <c r="BU40" s="8"/>
      <c r="BV40" s="26"/>
      <c r="BW40" s="26"/>
      <c r="BX40" s="116" t="s">
        <v>145</v>
      </c>
      <c r="BY40" s="116"/>
      <c r="BZ40" s="80">
        <v>2014</v>
      </c>
      <c r="CA40" s="27"/>
      <c r="CB40" s="27"/>
      <c r="CC40" s="27"/>
      <c r="CD40" s="27"/>
      <c r="CE40" s="27"/>
      <c r="CF40" s="116" t="s">
        <v>146</v>
      </c>
      <c r="CG40" s="116"/>
      <c r="CH40" s="80">
        <v>1988</v>
      </c>
      <c r="CI40" s="27"/>
      <c r="CJ40" s="25"/>
      <c r="CK40" s="25"/>
      <c r="CL40" s="25"/>
      <c r="CM40" s="116" t="s">
        <v>24</v>
      </c>
      <c r="CN40" s="116"/>
      <c r="CO40" s="2"/>
      <c r="CP40" s="2"/>
      <c r="CQ40" s="2"/>
      <c r="CR40" s="2"/>
      <c r="CS40" s="2"/>
      <c r="CT40" s="5"/>
      <c r="CU40" s="116" t="s">
        <v>26</v>
      </c>
      <c r="CV40" s="116"/>
      <c r="CW40" s="5">
        <v>2004</v>
      </c>
      <c r="CX40" s="2"/>
      <c r="CY40" s="3"/>
      <c r="CZ40" s="3"/>
      <c r="DA40" s="25"/>
      <c r="DB40" s="3"/>
      <c r="DC40" s="69"/>
      <c r="DD40" s="3"/>
      <c r="DE40" s="3"/>
      <c r="DF40" s="69"/>
      <c r="DG40" s="3"/>
      <c r="DH40" s="3"/>
      <c r="DI40" s="3"/>
      <c r="DJ40" s="69"/>
      <c r="DK40" s="3"/>
      <c r="DL40" s="5"/>
      <c r="DM40" s="116" t="s">
        <v>28</v>
      </c>
      <c r="DN40" s="116"/>
      <c r="DO40" s="54">
        <v>1997</v>
      </c>
      <c r="DP40" s="3"/>
      <c r="DQ40" s="3"/>
      <c r="DR40" s="3"/>
      <c r="DS40" s="3"/>
      <c r="DT40" s="3"/>
      <c r="DU40" s="3"/>
      <c r="DV40" s="3"/>
      <c r="DW40" s="3"/>
      <c r="DX40" s="5"/>
      <c r="DY40" s="116" t="s">
        <v>30</v>
      </c>
      <c r="DZ40" s="116"/>
      <c r="EA40" s="54">
        <v>1995</v>
      </c>
      <c r="EB40" s="8"/>
      <c r="EC40" s="8"/>
      <c r="ED40" s="26"/>
      <c r="EE40" s="26"/>
      <c r="EF40" s="26"/>
      <c r="EG40" s="5"/>
      <c r="EH40" s="116" t="s">
        <v>32</v>
      </c>
      <c r="EI40" s="116"/>
      <c r="EJ40" s="54">
        <v>1940</v>
      </c>
      <c r="EL40" s="9"/>
      <c r="EM40" s="116" t="s">
        <v>299</v>
      </c>
      <c r="EN40" s="116"/>
      <c r="EO40" s="54">
        <f>89+1911</f>
        <v>2000</v>
      </c>
      <c r="EP40" s="9"/>
      <c r="EQ40" s="116" t="s">
        <v>300</v>
      </c>
      <c r="ER40" s="116"/>
      <c r="ES40" s="54">
        <f>69+1911</f>
        <v>1980</v>
      </c>
      <c r="ET40" s="3"/>
      <c r="EU40" s="116" t="s">
        <v>114</v>
      </c>
      <c r="EV40" s="116"/>
      <c r="EW40" s="69"/>
      <c r="EX40" s="116" t="s">
        <v>91</v>
      </c>
      <c r="EY40" s="116"/>
      <c r="EZ40" s="54">
        <f>46+1911</f>
        <v>1957</v>
      </c>
      <c r="FA40" s="3"/>
      <c r="FB40" s="116" t="s">
        <v>182</v>
      </c>
      <c r="FC40" s="116"/>
      <c r="FD40" s="54">
        <f>1911+42</f>
        <v>1953</v>
      </c>
      <c r="FE40" s="3"/>
      <c r="FF40" s="116" t="s">
        <v>301</v>
      </c>
      <c r="FG40" s="116"/>
      <c r="FH40" s="54">
        <f>1911+89</f>
        <v>2000</v>
      </c>
      <c r="FI40" s="3"/>
      <c r="FJ40" s="116" t="s">
        <v>302</v>
      </c>
      <c r="FK40" s="116"/>
      <c r="FL40" s="54"/>
      <c r="FM40" s="3"/>
      <c r="FN40" s="9"/>
      <c r="FO40" s="116" t="s">
        <v>232</v>
      </c>
      <c r="FP40" s="116"/>
      <c r="FQ40" s="54">
        <v>1965</v>
      </c>
      <c r="FR40" s="3"/>
      <c r="FS40" s="3"/>
      <c r="FT40" s="124"/>
      <c r="FU40" s="125"/>
    </row>
    <row r="41" spans="1:178" ht="22.05" customHeight="1">
      <c r="A41" s="126"/>
      <c r="B41" s="127"/>
      <c r="D41" s="58"/>
      <c r="E41" s="9"/>
      <c r="F41" s="7"/>
      <c r="H41" s="58"/>
      <c r="I41" s="9"/>
      <c r="M41" s="58"/>
      <c r="N41" s="9"/>
      <c r="O41" s="9"/>
      <c r="P41" s="9"/>
      <c r="Q41"/>
      <c r="R41" s="3"/>
      <c r="S41" s="3"/>
      <c r="T41" s="3"/>
      <c r="U41" s="3"/>
      <c r="V41" s="10"/>
      <c r="W41" s="3"/>
      <c r="X41" s="3"/>
      <c r="Y41" s="3"/>
      <c r="Z41" s="10"/>
      <c r="AA41" s="3"/>
      <c r="AB41" s="9"/>
      <c r="AC41" s="31"/>
      <c r="AD41" s="3"/>
      <c r="AE41" s="3"/>
      <c r="AF41" s="10"/>
      <c r="AG41" s="3"/>
      <c r="AH41" s="9"/>
      <c r="AI41" s="31"/>
      <c r="AJ41" s="8"/>
      <c r="AK41" s="3"/>
      <c r="AL41" s="3"/>
      <c r="AM41" s="10"/>
      <c r="AN41" s="3"/>
      <c r="AO41" s="3"/>
      <c r="AP41" s="3"/>
      <c r="AQ41" s="10"/>
      <c r="AR41" s="3"/>
      <c r="AS41" s="3"/>
      <c r="AT41" s="3"/>
      <c r="AU41" s="10"/>
      <c r="AV41" s="3"/>
      <c r="AW41" s="3"/>
      <c r="AX41" s="3"/>
      <c r="AY41" s="10"/>
      <c r="AZ41" s="3"/>
      <c r="BA41" s="3"/>
      <c r="BB41" s="3"/>
      <c r="BC41" s="10"/>
      <c r="BD41" s="3"/>
      <c r="BE41" s="3"/>
      <c r="BF41" s="9"/>
      <c r="BG41" s="31"/>
      <c r="BH41" s="65"/>
      <c r="BI41" s="3"/>
      <c r="BJ41" s="3"/>
      <c r="BK41" s="3"/>
      <c r="BL41" s="9"/>
      <c r="BM41" s="31"/>
      <c r="BN41" s="3"/>
      <c r="BO41" s="3"/>
      <c r="BP41" s="10"/>
      <c r="BQ41" s="3"/>
      <c r="BR41" s="3"/>
      <c r="BS41" s="3"/>
      <c r="BT41" s="8"/>
      <c r="BU41" s="8"/>
      <c r="BV41" s="26"/>
      <c r="BW41" s="26"/>
      <c r="BX41" s="26"/>
      <c r="BY41" s="40"/>
      <c r="BZ41" s="27"/>
      <c r="CA41" s="27"/>
      <c r="CB41" s="27"/>
      <c r="CC41" s="27"/>
      <c r="CD41" s="27"/>
      <c r="CE41" s="27"/>
      <c r="CF41" s="27"/>
      <c r="CG41" s="41"/>
      <c r="CH41" s="27"/>
      <c r="CI41" s="27"/>
      <c r="CJ41" s="25"/>
      <c r="CK41" s="25"/>
      <c r="CL41" s="25"/>
      <c r="CM41" s="116" t="s">
        <v>33</v>
      </c>
      <c r="CN41" s="116"/>
      <c r="CO41" s="2"/>
      <c r="CP41" s="2"/>
      <c r="CQ41" s="2"/>
      <c r="CR41" s="2"/>
      <c r="CS41" s="2"/>
      <c r="CT41" s="3"/>
      <c r="CU41" s="3"/>
      <c r="CV41" s="10"/>
      <c r="CW41" s="3"/>
      <c r="CX41" s="2"/>
      <c r="CY41" s="3"/>
      <c r="CZ41" s="3"/>
      <c r="DA41" s="25"/>
      <c r="DB41" s="3"/>
      <c r="DC41" s="69"/>
      <c r="DD41" s="3"/>
      <c r="DE41" s="3"/>
      <c r="DF41" s="69"/>
      <c r="DG41" s="3"/>
      <c r="DH41" s="3"/>
      <c r="DI41" s="3"/>
      <c r="DJ41" s="69"/>
      <c r="DK41" s="3"/>
      <c r="DL41" s="3"/>
      <c r="DM41" s="3"/>
      <c r="DN41" s="10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28"/>
      <c r="EA41" s="3"/>
      <c r="EB41" s="8"/>
      <c r="EC41" s="8"/>
      <c r="ED41" s="26"/>
      <c r="EE41" s="26"/>
      <c r="EF41" s="26"/>
      <c r="EG41" s="3"/>
      <c r="EH41" s="3"/>
      <c r="EI41" s="10"/>
      <c r="EJ41" s="3"/>
      <c r="EL41" s="9"/>
      <c r="EM41" s="58"/>
      <c r="EN41" s="9"/>
      <c r="EO41" s="9"/>
      <c r="EP41" s="9"/>
      <c r="EQ41" s="58"/>
      <c r="ER41" s="31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9"/>
      <c r="FF41" s="58"/>
      <c r="FG41" s="9"/>
      <c r="FH41" s="9"/>
      <c r="FI41" s="3"/>
      <c r="FJ41" s="3"/>
      <c r="FK41" s="3"/>
      <c r="FL41" s="3"/>
      <c r="FM41" s="9"/>
      <c r="FN41" s="55"/>
      <c r="FO41" s="55"/>
      <c r="FP41" s="59"/>
      <c r="FQ41" s="55"/>
      <c r="FR41" s="83"/>
      <c r="FS41" s="53"/>
      <c r="FT41" s="126"/>
      <c r="FU41" s="127"/>
    </row>
    <row r="42" spans="1:178" ht="22.05" customHeight="1">
      <c r="A42" s="117" t="s">
        <v>332</v>
      </c>
      <c r="B42" s="117"/>
      <c r="E42" s="31"/>
      <c r="F42" s="7"/>
      <c r="H42" s="3"/>
      <c r="I42" s="31"/>
      <c r="N42" s="31"/>
      <c r="O42" s="9"/>
      <c r="P42" s="9"/>
      <c r="Q42"/>
      <c r="R42" s="3"/>
      <c r="S42" s="3"/>
      <c r="T42" s="18"/>
      <c r="U42" s="13"/>
      <c r="V42" s="13"/>
      <c r="W42" s="10"/>
      <c r="X42" s="3"/>
      <c r="Y42" s="18"/>
      <c r="Z42" s="13"/>
      <c r="AA42" s="10"/>
      <c r="AB42" s="6"/>
      <c r="AC42" s="10"/>
      <c r="AD42" s="3"/>
      <c r="AE42" s="18"/>
      <c r="AF42" s="13"/>
      <c r="AG42" s="10"/>
      <c r="AH42" s="6"/>
      <c r="AI42" s="10"/>
      <c r="AJ42" s="8"/>
      <c r="AK42" s="3"/>
      <c r="AL42" s="18"/>
      <c r="AM42" s="13"/>
      <c r="AN42" s="10"/>
      <c r="AO42" s="3"/>
      <c r="AP42" s="18"/>
      <c r="AQ42" s="13"/>
      <c r="AR42" s="10"/>
      <c r="AS42" s="3"/>
      <c r="AT42" s="18"/>
      <c r="AU42" s="13"/>
      <c r="AV42" s="10"/>
      <c r="AW42" s="3"/>
      <c r="AX42" s="18"/>
      <c r="AY42" s="13"/>
      <c r="AZ42" s="10"/>
      <c r="BA42" s="3"/>
      <c r="BB42" s="18"/>
      <c r="BC42" s="13"/>
      <c r="BD42" s="10"/>
      <c r="BE42" s="3"/>
      <c r="BF42" s="6"/>
      <c r="BG42" s="10"/>
      <c r="BH42" s="83"/>
      <c r="BI42" s="3"/>
      <c r="BJ42" s="3"/>
      <c r="BK42" s="3"/>
      <c r="BL42" s="6"/>
      <c r="BM42" s="10"/>
      <c r="BN42" s="3"/>
      <c r="BO42" s="18"/>
      <c r="BP42" s="13"/>
      <c r="BQ42" s="10"/>
      <c r="BR42" s="3"/>
      <c r="BS42" s="3"/>
      <c r="BT42" s="8"/>
      <c r="BU42" s="42"/>
      <c r="BV42" s="21"/>
      <c r="BW42" s="21"/>
      <c r="BX42" s="20"/>
      <c r="BY42" s="42"/>
      <c r="BZ42" s="22"/>
      <c r="CA42" s="43"/>
      <c r="CB42" s="44"/>
      <c r="CC42" s="7"/>
      <c r="CD42" s="7"/>
      <c r="CE42" s="45"/>
      <c r="CF42" s="13"/>
      <c r="CG42" s="18"/>
      <c r="CH42" s="46"/>
      <c r="CI42" s="47"/>
      <c r="CJ42" s="9"/>
      <c r="CK42" s="9"/>
      <c r="CL42" s="9"/>
      <c r="CM42" s="116" t="s">
        <v>35</v>
      </c>
      <c r="CN42" s="116"/>
      <c r="CO42" s="2"/>
      <c r="CP42" s="2"/>
      <c r="CQ42" s="29"/>
      <c r="CR42" s="12"/>
      <c r="CS42" s="12"/>
      <c r="CT42" s="29"/>
      <c r="CU42" s="12"/>
      <c r="CV42" s="13"/>
      <c r="CW42" s="19"/>
      <c r="CX42" s="29"/>
      <c r="CY42" s="13"/>
      <c r="CZ42" s="30"/>
      <c r="DA42" s="31"/>
      <c r="DB42" s="3"/>
      <c r="DC42" s="69"/>
      <c r="DD42" s="3"/>
      <c r="DE42" s="3"/>
      <c r="DF42" s="69"/>
      <c r="DG42" s="18"/>
      <c r="DH42" s="13"/>
      <c r="DI42" s="13"/>
      <c r="DJ42" s="14"/>
      <c r="DK42" s="13"/>
      <c r="DL42" s="13"/>
      <c r="DM42" s="14"/>
      <c r="DN42" s="18"/>
      <c r="DO42" s="13"/>
      <c r="DP42" s="13"/>
      <c r="DQ42" s="13"/>
      <c r="DR42" s="30"/>
      <c r="DS42" s="10"/>
      <c r="DT42" s="3"/>
      <c r="DU42" s="32"/>
      <c r="DV42" s="18"/>
      <c r="DW42" s="33"/>
      <c r="DX42" s="18"/>
      <c r="DY42" s="33"/>
      <c r="DZ42" s="18"/>
      <c r="EA42" s="33"/>
      <c r="EB42" s="18"/>
      <c r="EC42" s="33"/>
      <c r="ED42" s="10"/>
      <c r="EE42" s="6"/>
      <c r="EF42" s="6"/>
      <c r="EG42" s="3"/>
      <c r="EH42" s="18"/>
      <c r="EI42" s="13"/>
      <c r="EJ42" s="10"/>
      <c r="EL42" s="58"/>
      <c r="EM42" s="19"/>
      <c r="EN42" s="19"/>
      <c r="EO42" s="31"/>
      <c r="EP42" s="9"/>
      <c r="EQ42" s="58"/>
      <c r="ER42" s="65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58"/>
      <c r="FF42" s="19"/>
      <c r="FG42" s="19"/>
      <c r="FH42" s="31"/>
      <c r="FI42" s="9"/>
      <c r="FJ42" s="9"/>
      <c r="FK42" s="3"/>
      <c r="FL42" s="3"/>
      <c r="FM42" s="58"/>
      <c r="FN42" s="9"/>
      <c r="FO42" s="9"/>
      <c r="FP42" s="9"/>
      <c r="FQ42" s="9"/>
      <c r="FR42" s="31"/>
      <c r="FS42" s="58"/>
      <c r="FT42" s="117" t="s">
        <v>332</v>
      </c>
      <c r="FU42" s="117"/>
    </row>
    <row r="43" spans="1:178" ht="22.05" customHeight="1">
      <c r="A43" s="117"/>
      <c r="B43" s="117"/>
      <c r="D43" s="116" t="s">
        <v>359</v>
      </c>
      <c r="E43" s="116"/>
      <c r="F43" s="54">
        <v>1953</v>
      </c>
      <c r="H43" s="116" t="s">
        <v>312</v>
      </c>
      <c r="I43" s="116"/>
      <c r="J43" s="54">
        <f>1911+41</f>
        <v>1952</v>
      </c>
      <c r="M43" s="116" t="s">
        <v>312</v>
      </c>
      <c r="N43" s="116"/>
      <c r="O43" s="54">
        <f>1911+47</f>
        <v>1958</v>
      </c>
      <c r="P43" s="9"/>
      <c r="Q43"/>
      <c r="R43" s="3"/>
      <c r="S43" s="116" t="s">
        <v>1</v>
      </c>
      <c r="T43" s="116"/>
      <c r="U43" s="3"/>
      <c r="V43" s="116" t="s">
        <v>1</v>
      </c>
      <c r="W43" s="116"/>
      <c r="X43" s="116" t="s">
        <v>1</v>
      </c>
      <c r="Y43" s="116"/>
      <c r="Z43" s="116" t="s">
        <v>1</v>
      </c>
      <c r="AA43" s="116"/>
      <c r="AB43" s="116" t="s">
        <v>1</v>
      </c>
      <c r="AC43" s="116"/>
      <c r="AD43" s="116" t="s">
        <v>1</v>
      </c>
      <c r="AE43" s="116"/>
      <c r="AF43" s="116" t="s">
        <v>1</v>
      </c>
      <c r="AG43" s="116"/>
      <c r="AH43" s="116" t="s">
        <v>1</v>
      </c>
      <c r="AI43" s="116"/>
      <c r="AJ43" s="8"/>
      <c r="AK43" s="116" t="s">
        <v>1</v>
      </c>
      <c r="AL43" s="116"/>
      <c r="AM43" s="116" t="s">
        <v>1</v>
      </c>
      <c r="AN43" s="116"/>
      <c r="AO43" s="116" t="s">
        <v>1</v>
      </c>
      <c r="AP43" s="116"/>
      <c r="AQ43" s="116" t="s">
        <v>1</v>
      </c>
      <c r="AR43" s="116"/>
      <c r="AS43" s="116" t="s">
        <v>1</v>
      </c>
      <c r="AT43" s="116"/>
      <c r="AU43" s="116" t="s">
        <v>1</v>
      </c>
      <c r="AV43" s="116"/>
      <c r="AW43" s="116" t="s">
        <v>1</v>
      </c>
      <c r="AX43" s="116"/>
      <c r="AY43" s="116" t="s">
        <v>1</v>
      </c>
      <c r="AZ43" s="116"/>
      <c r="BA43" s="116" t="s">
        <v>1</v>
      </c>
      <c r="BB43" s="116"/>
      <c r="BC43" s="116" t="s">
        <v>1</v>
      </c>
      <c r="BD43" s="116"/>
      <c r="BE43" s="3"/>
      <c r="BF43" s="116" t="s">
        <v>1</v>
      </c>
      <c r="BG43" s="116"/>
      <c r="BH43" s="69"/>
      <c r="BI43" s="3"/>
      <c r="BJ43" s="3"/>
      <c r="BK43" s="3"/>
      <c r="BL43" s="116" t="s">
        <v>1</v>
      </c>
      <c r="BM43" s="116"/>
      <c r="BN43" s="116" t="s">
        <v>1</v>
      </c>
      <c r="BO43" s="116"/>
      <c r="BP43" s="116" t="s">
        <v>1</v>
      </c>
      <c r="BQ43" s="116"/>
      <c r="BR43" s="3"/>
      <c r="BS43" s="3"/>
      <c r="BT43" s="116" t="s">
        <v>1</v>
      </c>
      <c r="BU43" s="116"/>
      <c r="BV43" s="6"/>
      <c r="BW43" s="6"/>
      <c r="BX43" s="116" t="s">
        <v>1</v>
      </c>
      <c r="BY43" s="116"/>
      <c r="BZ43" s="7"/>
      <c r="CA43" s="116" t="s">
        <v>1</v>
      </c>
      <c r="CB43" s="116"/>
      <c r="CC43" s="7"/>
      <c r="CD43" s="116" t="s">
        <v>1</v>
      </c>
      <c r="CE43" s="116"/>
      <c r="CF43" s="116" t="s">
        <v>1</v>
      </c>
      <c r="CG43" s="116"/>
      <c r="CH43" s="116" t="s">
        <v>1</v>
      </c>
      <c r="CI43" s="116"/>
      <c r="CJ43" s="54">
        <v>1943</v>
      </c>
      <c r="CK43" s="7"/>
      <c r="CL43" s="7"/>
      <c r="CM43" s="116" t="s">
        <v>36</v>
      </c>
      <c r="CN43" s="116"/>
      <c r="CO43" s="2"/>
      <c r="CP43" s="116" t="s">
        <v>1</v>
      </c>
      <c r="CQ43" s="116"/>
      <c r="CR43" s="3"/>
      <c r="CS43" s="116" t="s">
        <v>1</v>
      </c>
      <c r="CT43" s="116"/>
      <c r="CU43" s="3"/>
      <c r="CV43" s="3"/>
      <c r="CW43" s="116" t="s">
        <v>1</v>
      </c>
      <c r="CX43" s="116"/>
      <c r="CY43" s="3"/>
      <c r="CZ43" s="116" t="s">
        <v>1</v>
      </c>
      <c r="DA43" s="116"/>
      <c r="DB43" s="3"/>
      <c r="DC43" s="69"/>
      <c r="DD43" s="3"/>
      <c r="DE43" s="3"/>
      <c r="DF43" s="116" t="s">
        <v>1</v>
      </c>
      <c r="DG43" s="116"/>
      <c r="DH43" s="3"/>
      <c r="DI43" s="3"/>
      <c r="DJ43" s="69"/>
      <c r="DK43" s="3"/>
      <c r="DL43" s="3"/>
      <c r="DM43" s="116" t="s">
        <v>1</v>
      </c>
      <c r="DN43" s="116"/>
      <c r="DO43" s="3"/>
      <c r="DP43" s="3"/>
      <c r="DQ43" s="69"/>
      <c r="DR43" s="116" t="s">
        <v>1</v>
      </c>
      <c r="DS43" s="116"/>
      <c r="DT43" s="3"/>
      <c r="DU43" s="116" t="s">
        <v>1</v>
      </c>
      <c r="DV43" s="116"/>
      <c r="DW43" s="116" t="s">
        <v>1</v>
      </c>
      <c r="DX43" s="116"/>
      <c r="DY43" s="116" t="s">
        <v>1</v>
      </c>
      <c r="DZ43" s="116"/>
      <c r="EA43" s="116" t="s">
        <v>1</v>
      </c>
      <c r="EB43" s="116"/>
      <c r="EC43" s="116" t="s">
        <v>1</v>
      </c>
      <c r="ED43" s="116"/>
      <c r="EE43" s="6"/>
      <c r="EF43" s="6"/>
      <c r="EG43" s="116" t="s">
        <v>1</v>
      </c>
      <c r="EH43" s="116"/>
      <c r="EI43" s="116" t="s">
        <v>1</v>
      </c>
      <c r="EJ43" s="116"/>
      <c r="EL43" s="116" t="s">
        <v>312</v>
      </c>
      <c r="EM43" s="116"/>
      <c r="EN43" s="116" t="s">
        <v>312</v>
      </c>
      <c r="EO43" s="116"/>
      <c r="EP43" s="9"/>
      <c r="EQ43" s="116" t="s">
        <v>312</v>
      </c>
      <c r="ER43" s="116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116" t="s">
        <v>312</v>
      </c>
      <c r="FF43" s="116"/>
      <c r="FG43" s="116" t="s">
        <v>312</v>
      </c>
      <c r="FH43" s="116"/>
      <c r="FI43" s="9"/>
      <c r="FJ43" s="9"/>
      <c r="FK43" s="9"/>
      <c r="FL43" s="9"/>
      <c r="FM43" s="116" t="s">
        <v>312</v>
      </c>
      <c r="FN43" s="116"/>
      <c r="FO43" s="54">
        <v>1940</v>
      </c>
      <c r="FP43" s="25"/>
      <c r="FQ43" s="116" t="s">
        <v>312</v>
      </c>
      <c r="FR43" s="116"/>
      <c r="FS43" s="69"/>
      <c r="FT43" s="117"/>
      <c r="FU43" s="117"/>
    </row>
    <row r="44" spans="1:178" ht="22.05" customHeight="1">
      <c r="A44" s="117"/>
      <c r="B44" s="117"/>
      <c r="D44" s="116" t="s">
        <v>360</v>
      </c>
      <c r="E44" s="116"/>
      <c r="F44" s="7"/>
      <c r="H44" s="116" t="s">
        <v>322</v>
      </c>
      <c r="I44" s="116"/>
      <c r="M44" s="116" t="s">
        <v>177</v>
      </c>
      <c r="N44" s="116"/>
      <c r="O44" s="9"/>
      <c r="P44" s="9"/>
      <c r="Q44"/>
      <c r="R44" s="3"/>
      <c r="S44" s="116" t="s">
        <v>147</v>
      </c>
      <c r="T44" s="116"/>
      <c r="U44" s="3"/>
      <c r="V44" s="116" t="s">
        <v>40</v>
      </c>
      <c r="W44" s="116"/>
      <c r="X44" s="116" t="s">
        <v>148</v>
      </c>
      <c r="Y44" s="116"/>
      <c r="Z44" s="116" t="s">
        <v>148</v>
      </c>
      <c r="AA44" s="116"/>
      <c r="AB44" s="116" t="s">
        <v>149</v>
      </c>
      <c r="AC44" s="116"/>
      <c r="AD44" s="116" t="s">
        <v>150</v>
      </c>
      <c r="AE44" s="116"/>
      <c r="AF44" s="116" t="s">
        <v>150</v>
      </c>
      <c r="AG44" s="116"/>
      <c r="AH44" s="116" t="s">
        <v>151</v>
      </c>
      <c r="AI44" s="116"/>
      <c r="AJ44" s="8"/>
      <c r="AK44" s="116" t="s">
        <v>152</v>
      </c>
      <c r="AL44" s="116"/>
      <c r="AM44" s="116" t="s">
        <v>76</v>
      </c>
      <c r="AN44" s="116"/>
      <c r="AO44" s="116" t="s">
        <v>153</v>
      </c>
      <c r="AP44" s="116"/>
      <c r="AQ44" s="116" t="s">
        <v>154</v>
      </c>
      <c r="AR44" s="116"/>
      <c r="AS44" s="116" t="s">
        <v>150</v>
      </c>
      <c r="AT44" s="116"/>
      <c r="AU44" s="116" t="s">
        <v>155</v>
      </c>
      <c r="AV44" s="116"/>
      <c r="AW44" s="116" t="s">
        <v>156</v>
      </c>
      <c r="AX44" s="116"/>
      <c r="AY44" s="116" t="s">
        <v>156</v>
      </c>
      <c r="AZ44" s="116"/>
      <c r="BA44" s="116" t="s">
        <v>50</v>
      </c>
      <c r="BB44" s="116"/>
      <c r="BC44" s="116" t="s">
        <v>157</v>
      </c>
      <c r="BD44" s="116"/>
      <c r="BE44" s="3"/>
      <c r="BF44" s="116" t="s">
        <v>76</v>
      </c>
      <c r="BG44" s="116"/>
      <c r="BH44" s="69"/>
      <c r="BI44" s="3"/>
      <c r="BJ44" s="3"/>
      <c r="BK44" s="3"/>
      <c r="BL44" s="116" t="s">
        <v>158</v>
      </c>
      <c r="BM44" s="116"/>
      <c r="BN44" s="116" t="s">
        <v>159</v>
      </c>
      <c r="BO44" s="116"/>
      <c r="BP44" s="116" t="s">
        <v>160</v>
      </c>
      <c r="BQ44" s="116"/>
      <c r="BR44" s="3"/>
      <c r="BS44" s="3"/>
      <c r="BT44" s="116" t="s">
        <v>161</v>
      </c>
      <c r="BU44" s="116"/>
      <c r="BV44" s="6"/>
      <c r="BW44" s="6"/>
      <c r="BX44" s="116" t="s">
        <v>161</v>
      </c>
      <c r="BY44" s="116"/>
      <c r="BZ44" s="7"/>
      <c r="CA44" s="116" t="s">
        <v>161</v>
      </c>
      <c r="CB44" s="116"/>
      <c r="CC44" s="7"/>
      <c r="CD44" s="116" t="s">
        <v>95</v>
      </c>
      <c r="CE44" s="116"/>
      <c r="CF44" s="116" t="s">
        <v>95</v>
      </c>
      <c r="CG44" s="116"/>
      <c r="CH44" s="116" t="s">
        <v>95</v>
      </c>
      <c r="CI44" s="116"/>
      <c r="CJ44" s="7"/>
      <c r="CK44" s="7"/>
      <c r="CL44" s="7"/>
      <c r="CM44" s="116" t="s">
        <v>38</v>
      </c>
      <c r="CN44" s="116"/>
      <c r="CO44" s="2"/>
      <c r="CP44" s="116" t="s">
        <v>39</v>
      </c>
      <c r="CQ44" s="116"/>
      <c r="CR44" s="3"/>
      <c r="CS44" s="116" t="s">
        <v>40</v>
      </c>
      <c r="CT44" s="116"/>
      <c r="CU44" s="3"/>
      <c r="CV44" s="3"/>
      <c r="CW44" s="116" t="s">
        <v>41</v>
      </c>
      <c r="CX44" s="116"/>
      <c r="CY44" s="3"/>
      <c r="CZ44" s="116" t="s">
        <v>42</v>
      </c>
      <c r="DA44" s="116"/>
      <c r="DB44" s="3"/>
      <c r="DC44" s="69"/>
      <c r="DD44" s="3"/>
      <c r="DE44" s="3"/>
      <c r="DF44" s="116" t="s">
        <v>43</v>
      </c>
      <c r="DG44" s="116"/>
      <c r="DH44" s="3"/>
      <c r="DI44" s="3"/>
      <c r="DJ44" s="69"/>
      <c r="DK44" s="3"/>
      <c r="DL44" s="3"/>
      <c r="DM44" s="116" t="s">
        <v>44</v>
      </c>
      <c r="DN44" s="116"/>
      <c r="DO44" s="3"/>
      <c r="DP44" s="3"/>
      <c r="DQ44" s="69"/>
      <c r="DR44" s="116" t="s">
        <v>45</v>
      </c>
      <c r="DS44" s="116"/>
      <c r="DT44" s="3"/>
      <c r="DU44" s="116" t="s">
        <v>46</v>
      </c>
      <c r="DV44" s="116"/>
      <c r="DW44" s="116" t="s">
        <v>46</v>
      </c>
      <c r="DX44" s="116"/>
      <c r="DY44" s="116" t="s">
        <v>47</v>
      </c>
      <c r="DZ44" s="116"/>
      <c r="EA44" s="116" t="s">
        <v>48</v>
      </c>
      <c r="EB44" s="116"/>
      <c r="EC44" s="116" t="s">
        <v>49</v>
      </c>
      <c r="ED44" s="116"/>
      <c r="EE44" s="6"/>
      <c r="EF44" s="6"/>
      <c r="EG44" s="116" t="s">
        <v>50</v>
      </c>
      <c r="EH44" s="116"/>
      <c r="EI44" s="116" t="s">
        <v>51</v>
      </c>
      <c r="EJ44" s="116"/>
      <c r="EL44" s="116" t="s">
        <v>40</v>
      </c>
      <c r="EM44" s="116"/>
      <c r="EN44" s="116" t="s">
        <v>131</v>
      </c>
      <c r="EO44" s="116"/>
      <c r="EP44" s="9"/>
      <c r="EQ44" s="116" t="s">
        <v>303</v>
      </c>
      <c r="ER44" s="116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116" t="s">
        <v>87</v>
      </c>
      <c r="FF44" s="116"/>
      <c r="FG44" s="116" t="s">
        <v>272</v>
      </c>
      <c r="FH44" s="116"/>
      <c r="FI44" s="9"/>
      <c r="FJ44" s="9"/>
      <c r="FK44" s="9"/>
      <c r="FL44" s="9"/>
      <c r="FM44" s="116" t="s">
        <v>131</v>
      </c>
      <c r="FN44" s="116"/>
      <c r="FO44" s="69"/>
      <c r="FP44" s="25"/>
      <c r="FQ44" s="116" t="s">
        <v>131</v>
      </c>
      <c r="FR44" s="116"/>
      <c r="FS44" s="69"/>
      <c r="FT44" s="117"/>
      <c r="FU44" s="117"/>
    </row>
    <row r="45" spans="1:178" ht="22.05" customHeight="1">
      <c r="A45" s="117"/>
      <c r="B45" s="117"/>
      <c r="D45" s="116" t="s">
        <v>361</v>
      </c>
      <c r="E45" s="116"/>
      <c r="F45" s="7"/>
      <c r="H45" s="116" t="s">
        <v>87</v>
      </c>
      <c r="I45" s="116"/>
      <c r="M45" s="116" t="s">
        <v>323</v>
      </c>
      <c r="N45" s="116"/>
      <c r="O45" s="9"/>
      <c r="P45" s="9"/>
      <c r="Q45"/>
      <c r="R45" s="3"/>
      <c r="S45" s="116" t="s">
        <v>162</v>
      </c>
      <c r="T45" s="116"/>
      <c r="U45" s="3"/>
      <c r="V45" s="116" t="s">
        <v>163</v>
      </c>
      <c r="W45" s="116"/>
      <c r="X45" s="116" t="s">
        <v>164</v>
      </c>
      <c r="Y45" s="116"/>
      <c r="Z45" s="116" t="s">
        <v>165</v>
      </c>
      <c r="AA45" s="116"/>
      <c r="AB45" s="116" t="s">
        <v>166</v>
      </c>
      <c r="AC45" s="116"/>
      <c r="AD45" s="116" t="s">
        <v>167</v>
      </c>
      <c r="AE45" s="116"/>
      <c r="AF45" s="116" t="s">
        <v>168</v>
      </c>
      <c r="AG45" s="116"/>
      <c r="AH45" s="116" t="s">
        <v>169</v>
      </c>
      <c r="AI45" s="116"/>
      <c r="AJ45" s="6"/>
      <c r="AK45" s="116" t="s">
        <v>106</v>
      </c>
      <c r="AL45" s="116"/>
      <c r="AM45" s="116" t="s">
        <v>170</v>
      </c>
      <c r="AN45" s="116"/>
      <c r="AO45" s="116" t="s">
        <v>171</v>
      </c>
      <c r="AP45" s="116"/>
      <c r="AQ45" s="116" t="s">
        <v>172</v>
      </c>
      <c r="AR45" s="116"/>
      <c r="AS45" s="116" t="s">
        <v>173</v>
      </c>
      <c r="AT45" s="116"/>
      <c r="AU45" s="116" t="s">
        <v>76</v>
      </c>
      <c r="AV45" s="116"/>
      <c r="AW45" s="116" t="s">
        <v>174</v>
      </c>
      <c r="AX45" s="116"/>
      <c r="AY45" s="116" t="s">
        <v>175</v>
      </c>
      <c r="AZ45" s="116"/>
      <c r="BA45" s="116" t="s">
        <v>176</v>
      </c>
      <c r="BB45" s="116"/>
      <c r="BC45" s="116" t="s">
        <v>177</v>
      </c>
      <c r="BD45" s="116"/>
      <c r="BE45" s="3"/>
      <c r="BF45" s="116" t="s">
        <v>178</v>
      </c>
      <c r="BG45" s="116"/>
      <c r="BH45" s="69"/>
      <c r="BI45" s="3"/>
      <c r="BJ45" s="3"/>
      <c r="BK45" s="3"/>
      <c r="BL45" s="116" t="s">
        <v>179</v>
      </c>
      <c r="BM45" s="116"/>
      <c r="BN45" s="116" t="s">
        <v>180</v>
      </c>
      <c r="BO45" s="116"/>
      <c r="BP45" s="116" t="s">
        <v>181</v>
      </c>
      <c r="BQ45" s="116"/>
      <c r="BR45" s="3"/>
      <c r="BS45" s="3"/>
      <c r="BT45" s="116" t="s">
        <v>182</v>
      </c>
      <c r="BU45" s="116"/>
      <c r="BV45" s="6"/>
      <c r="BW45" s="6"/>
      <c r="BX45" s="116" t="s">
        <v>183</v>
      </c>
      <c r="BY45" s="116"/>
      <c r="BZ45" s="7"/>
      <c r="CA45" s="116" t="s">
        <v>166</v>
      </c>
      <c r="CB45" s="116"/>
      <c r="CC45" s="7"/>
      <c r="CD45" s="116" t="s">
        <v>184</v>
      </c>
      <c r="CE45" s="116"/>
      <c r="CF45" s="116" t="s">
        <v>185</v>
      </c>
      <c r="CG45" s="116"/>
      <c r="CH45" s="116" t="s">
        <v>58</v>
      </c>
      <c r="CI45" s="116"/>
      <c r="CJ45" s="7"/>
      <c r="CK45" s="7"/>
      <c r="CL45" s="7"/>
      <c r="CM45" s="116" t="s">
        <v>52</v>
      </c>
      <c r="CN45" s="116"/>
      <c r="CO45" s="2"/>
      <c r="CP45" s="116" t="s">
        <v>53</v>
      </c>
      <c r="CQ45" s="116"/>
      <c r="CR45" s="3"/>
      <c r="CS45" s="116" t="s">
        <v>54</v>
      </c>
      <c r="CT45" s="116"/>
      <c r="CU45" s="3"/>
      <c r="CV45" s="3"/>
      <c r="CW45" s="116" t="s">
        <v>55</v>
      </c>
      <c r="CX45" s="116"/>
      <c r="CY45" s="3"/>
      <c r="CZ45" s="116" t="s">
        <v>56</v>
      </c>
      <c r="DA45" s="116"/>
      <c r="DB45" s="3"/>
      <c r="DC45" s="69"/>
      <c r="DD45" s="3"/>
      <c r="DE45" s="3"/>
      <c r="DF45" s="116" t="s">
        <v>57</v>
      </c>
      <c r="DG45" s="116"/>
      <c r="DH45" s="3"/>
      <c r="DI45" s="3"/>
      <c r="DJ45" s="69"/>
      <c r="DK45" s="3"/>
      <c r="DL45" s="3"/>
      <c r="DM45" s="116" t="s">
        <v>58</v>
      </c>
      <c r="DN45" s="116"/>
      <c r="DO45" s="3"/>
      <c r="DP45" s="3"/>
      <c r="DQ45" s="3"/>
      <c r="DR45" s="116" t="s">
        <v>59</v>
      </c>
      <c r="DS45" s="116"/>
      <c r="DT45" s="3"/>
      <c r="DU45" s="116" t="s">
        <v>60</v>
      </c>
      <c r="DV45" s="116"/>
      <c r="DW45" s="116" t="s">
        <v>61</v>
      </c>
      <c r="DX45" s="116"/>
      <c r="DY45" s="116" t="s">
        <v>10</v>
      </c>
      <c r="DZ45" s="116"/>
      <c r="EA45" s="116" t="s">
        <v>43</v>
      </c>
      <c r="EB45" s="116"/>
      <c r="EC45" s="116" t="s">
        <v>62</v>
      </c>
      <c r="ED45" s="116"/>
      <c r="EE45" s="6"/>
      <c r="EF45" s="6"/>
      <c r="EG45" s="116" t="s">
        <v>63</v>
      </c>
      <c r="EH45" s="116"/>
      <c r="EI45" s="116" t="s">
        <v>15</v>
      </c>
      <c r="EJ45" s="116"/>
      <c r="EL45" s="116" t="s">
        <v>305</v>
      </c>
      <c r="EM45" s="116"/>
      <c r="EN45" s="116" t="s">
        <v>92</v>
      </c>
      <c r="EO45" s="116"/>
      <c r="EP45" s="9"/>
      <c r="EQ45" s="116" t="s">
        <v>195</v>
      </c>
      <c r="ER45" s="116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116" t="s">
        <v>43</v>
      </c>
      <c r="FF45" s="116"/>
      <c r="FG45" s="116" t="s">
        <v>227</v>
      </c>
      <c r="FH45" s="116"/>
      <c r="FI45" s="9"/>
      <c r="FJ45" s="9"/>
      <c r="FK45" s="9"/>
      <c r="FL45" s="9"/>
      <c r="FM45" s="116" t="s">
        <v>41</v>
      </c>
      <c r="FN45" s="116"/>
      <c r="FO45" s="69"/>
      <c r="FP45" s="6"/>
      <c r="FQ45" s="116" t="s">
        <v>306</v>
      </c>
      <c r="FR45" s="116"/>
      <c r="FS45" s="69"/>
      <c r="FT45" s="117"/>
      <c r="FU45" s="117"/>
    </row>
    <row r="46" spans="1:178" ht="22.05" customHeight="1">
      <c r="A46" s="117"/>
      <c r="B46" s="117"/>
      <c r="D46" s="58"/>
      <c r="E46" s="9"/>
      <c r="F46" s="7"/>
      <c r="G46" s="9"/>
      <c r="H46" s="58"/>
      <c r="I46" s="9"/>
      <c r="M46" s="58"/>
      <c r="N46" s="9"/>
      <c r="O46" s="9"/>
      <c r="Q46"/>
      <c r="R46" s="3"/>
      <c r="S46" s="3"/>
      <c r="T46" s="10"/>
      <c r="U46" s="3"/>
      <c r="V46" s="9"/>
      <c r="W46" s="31"/>
      <c r="X46" s="3"/>
      <c r="Y46" s="3"/>
      <c r="Z46" s="9"/>
      <c r="AA46" s="31"/>
      <c r="AB46" s="3"/>
      <c r="AC46" s="3"/>
      <c r="AD46" s="3"/>
      <c r="AE46" s="3"/>
      <c r="AF46" s="3"/>
      <c r="AG46" s="3"/>
      <c r="AH46" s="3"/>
      <c r="AI46" s="10"/>
      <c r="AJ46" s="3"/>
      <c r="AK46" s="6"/>
      <c r="AL46" s="1"/>
      <c r="AM46" s="1"/>
      <c r="AN46" s="1"/>
      <c r="AO46" s="2"/>
      <c r="AP46" s="2"/>
      <c r="AQ46" s="69"/>
      <c r="AR46" s="3"/>
      <c r="AS46" s="3"/>
      <c r="AT46" s="10"/>
      <c r="AU46" s="3"/>
      <c r="AV46" s="3"/>
      <c r="AW46" s="9"/>
      <c r="AX46" s="31"/>
      <c r="AY46" s="3"/>
      <c r="AZ46" s="3"/>
      <c r="BA46" s="3"/>
      <c r="BB46" s="3"/>
      <c r="BC46" s="3"/>
      <c r="BD46" s="10"/>
      <c r="BE46" s="3"/>
      <c r="BF46" s="6"/>
      <c r="BG46" s="36"/>
      <c r="BH46" s="86"/>
      <c r="BI46" s="3"/>
      <c r="BJ46" s="3"/>
      <c r="BK46" s="3"/>
      <c r="BL46" s="3"/>
      <c r="BM46" s="3"/>
      <c r="BN46" s="3"/>
      <c r="BO46" s="3"/>
      <c r="BP46" s="6"/>
      <c r="BQ46" s="36"/>
      <c r="BR46" s="3"/>
      <c r="BS46" s="3"/>
      <c r="BT46" s="6"/>
      <c r="BU46" s="38"/>
      <c r="BV46" s="6"/>
      <c r="BW46" s="6"/>
      <c r="BX46" s="6"/>
      <c r="BY46" s="6"/>
      <c r="BZ46" s="3"/>
      <c r="CA46" s="3"/>
      <c r="CB46" s="10"/>
      <c r="CC46" s="3"/>
      <c r="CD46" s="6"/>
      <c r="CE46" s="36"/>
      <c r="CF46" s="7"/>
      <c r="CG46" s="7"/>
      <c r="CH46" s="3"/>
      <c r="CI46" s="10"/>
      <c r="CJ46" s="3"/>
      <c r="CK46" s="3"/>
      <c r="CL46" s="3"/>
      <c r="CM46" s="1"/>
      <c r="CN46" s="1"/>
      <c r="CO46" s="2"/>
      <c r="CP46" s="9"/>
      <c r="CQ46" s="31"/>
      <c r="CR46" s="3"/>
      <c r="CS46" s="3"/>
      <c r="CT46" s="10"/>
      <c r="CU46" s="3"/>
      <c r="CV46" s="3"/>
      <c r="CW46" s="3"/>
      <c r="CX46" s="10"/>
      <c r="CY46" s="3"/>
      <c r="CZ46" s="9"/>
      <c r="DA46" s="31"/>
      <c r="DB46" s="3"/>
      <c r="DC46" s="34"/>
      <c r="DD46" s="16"/>
      <c r="DE46" s="16"/>
      <c r="DF46" s="3"/>
      <c r="DG46" s="10"/>
      <c r="DH46" s="16"/>
      <c r="DI46" s="16"/>
      <c r="DJ46" s="3"/>
      <c r="DK46" s="3"/>
      <c r="DL46" s="3"/>
      <c r="DM46" s="3"/>
      <c r="DN46" s="10"/>
      <c r="DO46" s="3"/>
      <c r="DP46" s="3"/>
      <c r="DQ46" s="3"/>
      <c r="DR46" s="3"/>
      <c r="DS46" s="10"/>
      <c r="DT46" s="3"/>
      <c r="DU46" s="9"/>
      <c r="DV46" s="31"/>
      <c r="DW46" s="9"/>
      <c r="DX46" s="31"/>
      <c r="DY46" s="3"/>
      <c r="DZ46" s="3"/>
      <c r="EA46" s="9"/>
      <c r="EB46" s="31"/>
      <c r="EC46" s="9"/>
      <c r="ED46" s="31"/>
      <c r="EE46" s="6"/>
      <c r="EF46" s="3"/>
      <c r="EG46" s="3"/>
      <c r="EH46" s="10"/>
      <c r="EI46" s="3"/>
      <c r="EJ46" s="7"/>
      <c r="EL46" s="58"/>
      <c r="EM46" s="31"/>
      <c r="EN46" s="58"/>
      <c r="EO46" s="31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58"/>
      <c r="FN46" s="31"/>
      <c r="FO46" s="9"/>
      <c r="FP46" s="9"/>
      <c r="FQ46" s="9"/>
      <c r="FR46" s="9"/>
      <c r="FS46" s="9"/>
      <c r="FT46" s="117"/>
      <c r="FU46" s="117"/>
    </row>
    <row r="47" spans="1:178" ht="22.05" customHeight="1">
      <c r="A47" s="117" t="s">
        <v>333</v>
      </c>
      <c r="B47" s="117"/>
      <c r="E47" s="31"/>
      <c r="H47" s="3"/>
      <c r="I47" s="31"/>
      <c r="J47" s="7"/>
      <c r="N47" s="31"/>
      <c r="O47" s="9"/>
      <c r="Q47"/>
      <c r="R47" s="3"/>
      <c r="S47" s="18"/>
      <c r="T47" s="13"/>
      <c r="U47" s="10"/>
      <c r="V47" s="6"/>
      <c r="W47" s="10"/>
      <c r="X47" s="3"/>
      <c r="Y47" s="3"/>
      <c r="Z47" s="6"/>
      <c r="AA47" s="10"/>
      <c r="AB47" s="3"/>
      <c r="AC47" s="3"/>
      <c r="AD47" s="3"/>
      <c r="AE47" s="3"/>
      <c r="AF47" s="3"/>
      <c r="AG47" s="3"/>
      <c r="AH47" s="18"/>
      <c r="AI47" s="13"/>
      <c r="AJ47" s="10"/>
      <c r="AK47" s="6"/>
      <c r="AL47" s="1"/>
      <c r="AM47" s="1"/>
      <c r="AN47" s="1"/>
      <c r="AO47" s="2"/>
      <c r="AP47" s="2"/>
      <c r="AQ47" s="69"/>
      <c r="AR47" s="3"/>
      <c r="AS47" s="18"/>
      <c r="AT47" s="13"/>
      <c r="AU47" s="10"/>
      <c r="AV47" s="3"/>
      <c r="AW47" s="6"/>
      <c r="AX47" s="10"/>
      <c r="AY47" s="3"/>
      <c r="AZ47" s="3"/>
      <c r="BA47" s="3"/>
      <c r="BB47" s="3"/>
      <c r="BC47" s="18"/>
      <c r="BD47" s="13"/>
      <c r="BE47" s="10"/>
      <c r="BF47" s="6"/>
      <c r="BG47" s="10"/>
      <c r="BH47" s="83"/>
      <c r="BI47" s="3"/>
      <c r="BJ47" s="3"/>
      <c r="BK47" s="3"/>
      <c r="BL47" s="3"/>
      <c r="BM47" s="3"/>
      <c r="BN47" s="3"/>
      <c r="BO47" s="3"/>
      <c r="BP47" s="6"/>
      <c r="BQ47" s="10"/>
      <c r="BR47" s="3"/>
      <c r="BS47" s="18"/>
      <c r="BT47" s="21"/>
      <c r="BU47" s="48"/>
      <c r="BV47" s="33"/>
      <c r="BW47" s="36"/>
      <c r="BX47" s="6"/>
      <c r="BY47" s="6"/>
      <c r="BZ47" s="3"/>
      <c r="CA47" s="18"/>
      <c r="CB47" s="13"/>
      <c r="CC47" s="10"/>
      <c r="CD47" s="6"/>
      <c r="CE47" s="10"/>
      <c r="CF47" s="7"/>
      <c r="CG47" s="7"/>
      <c r="CH47" s="18"/>
      <c r="CI47" s="13"/>
      <c r="CJ47" s="10"/>
      <c r="CK47" s="83"/>
      <c r="CL47" s="83"/>
      <c r="CM47" s="1"/>
      <c r="CN47" s="1"/>
      <c r="CO47" s="2"/>
      <c r="CP47" s="6"/>
      <c r="CQ47" s="10"/>
      <c r="CR47" s="3"/>
      <c r="CS47" s="18"/>
      <c r="CT47" s="13"/>
      <c r="CU47" s="10"/>
      <c r="CV47" s="3"/>
      <c r="CW47" s="18"/>
      <c r="CX47" s="13"/>
      <c r="CY47" s="10"/>
      <c r="CZ47" s="6"/>
      <c r="DA47" s="10"/>
      <c r="DB47" s="3"/>
      <c r="DC47" s="23"/>
      <c r="DD47" s="3"/>
      <c r="DE47" s="3"/>
      <c r="DF47" s="35"/>
      <c r="DG47" s="13"/>
      <c r="DH47" s="3"/>
      <c r="DI47" s="3"/>
      <c r="DJ47" s="10"/>
      <c r="DK47" s="3"/>
      <c r="DL47" s="3"/>
      <c r="DM47" s="18"/>
      <c r="DN47" s="13"/>
      <c r="DO47" s="10"/>
      <c r="DP47" s="3"/>
      <c r="DQ47" s="3"/>
      <c r="DR47" s="18"/>
      <c r="DS47" s="13"/>
      <c r="DT47" s="10"/>
      <c r="DU47" s="6"/>
      <c r="DV47" s="10"/>
      <c r="DW47" s="6"/>
      <c r="DX47" s="10"/>
      <c r="DY47" s="3"/>
      <c r="DZ47" s="3"/>
      <c r="EA47" s="6"/>
      <c r="EB47" s="10"/>
      <c r="EC47" s="6"/>
      <c r="ED47" s="10"/>
      <c r="EE47" s="6"/>
      <c r="EF47" s="3"/>
      <c r="EG47" s="18"/>
      <c r="EH47" s="13"/>
      <c r="EI47" s="10"/>
      <c r="EJ47" s="7"/>
      <c r="EL47" s="65"/>
      <c r="EM47" s="31"/>
      <c r="EN47" s="58"/>
      <c r="EO47" s="65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3"/>
      <c r="FF47" s="3"/>
      <c r="FG47" s="7"/>
      <c r="FH47" s="7"/>
      <c r="FI47" s="7"/>
      <c r="FJ47" s="7"/>
      <c r="FK47" s="9"/>
      <c r="FL47" s="9"/>
      <c r="FM47" s="58"/>
      <c r="FN47" s="65"/>
      <c r="FO47" s="9"/>
      <c r="FP47" s="9"/>
      <c r="FQ47" s="9"/>
      <c r="FR47" s="9"/>
      <c r="FS47" s="9"/>
      <c r="FT47" s="117" t="s">
        <v>333</v>
      </c>
      <c r="FU47" s="117"/>
    </row>
    <row r="48" spans="1:178" ht="22.05" customHeight="1">
      <c r="A48" s="117"/>
      <c r="B48" s="117"/>
      <c r="D48" s="116" t="s">
        <v>312</v>
      </c>
      <c r="E48" s="116"/>
      <c r="F48" s="54">
        <v>1980</v>
      </c>
      <c r="H48" s="116" t="s">
        <v>312</v>
      </c>
      <c r="I48" s="116"/>
      <c r="J48" s="54">
        <v>1990</v>
      </c>
      <c r="M48" s="116" t="s">
        <v>312</v>
      </c>
      <c r="N48" s="116"/>
      <c r="O48" s="54">
        <v>1993</v>
      </c>
      <c r="Q48"/>
      <c r="R48" s="116" t="s">
        <v>1</v>
      </c>
      <c r="S48" s="116"/>
      <c r="T48" s="116" t="s">
        <v>1</v>
      </c>
      <c r="U48" s="116"/>
      <c r="V48" s="116" t="s">
        <v>1</v>
      </c>
      <c r="W48" s="116"/>
      <c r="X48" s="3"/>
      <c r="Y48" s="3"/>
      <c r="Z48" s="116" t="s">
        <v>1</v>
      </c>
      <c r="AA48" s="116"/>
      <c r="AB48" s="3"/>
      <c r="AC48" s="3"/>
      <c r="AD48" s="3"/>
      <c r="AE48" s="3"/>
      <c r="AF48" s="3"/>
      <c r="AG48" s="116" t="s">
        <v>1</v>
      </c>
      <c r="AH48" s="116"/>
      <c r="AI48" s="116" t="s">
        <v>1</v>
      </c>
      <c r="AJ48" s="116"/>
      <c r="AK48" s="26"/>
      <c r="AL48" s="1"/>
      <c r="AM48" s="1"/>
      <c r="AN48" s="1"/>
      <c r="AO48" s="2"/>
      <c r="AP48" s="2"/>
      <c r="AQ48" s="69"/>
      <c r="AR48" s="116" t="s">
        <v>1</v>
      </c>
      <c r="AS48" s="116"/>
      <c r="AT48" s="116" t="s">
        <v>1</v>
      </c>
      <c r="AU48" s="116"/>
      <c r="AV48" s="3"/>
      <c r="AW48" s="116" t="s">
        <v>1</v>
      </c>
      <c r="AX48" s="116"/>
      <c r="AY48" s="3"/>
      <c r="AZ48" s="3"/>
      <c r="BA48" s="3"/>
      <c r="BB48" s="116" t="s">
        <v>1</v>
      </c>
      <c r="BC48" s="116"/>
      <c r="BD48" s="116" t="s">
        <v>1</v>
      </c>
      <c r="BE48" s="116"/>
      <c r="BF48" s="116" t="s">
        <v>1</v>
      </c>
      <c r="BG48" s="116"/>
      <c r="BH48" s="69"/>
      <c r="BI48" s="3"/>
      <c r="BJ48" s="3"/>
      <c r="BK48" s="3"/>
      <c r="BL48" s="3"/>
      <c r="BM48" s="3"/>
      <c r="BN48" s="3"/>
      <c r="BO48" s="3"/>
      <c r="BP48" s="116" t="s">
        <v>1</v>
      </c>
      <c r="BQ48" s="116"/>
      <c r="BR48" s="116" t="s">
        <v>1</v>
      </c>
      <c r="BS48" s="116"/>
      <c r="BT48" s="116" t="s">
        <v>1</v>
      </c>
      <c r="BU48" s="116"/>
      <c r="BV48" s="116" t="s">
        <v>1</v>
      </c>
      <c r="BW48" s="116"/>
      <c r="BX48" s="26"/>
      <c r="BY48" s="26"/>
      <c r="BZ48" s="116" t="s">
        <v>1</v>
      </c>
      <c r="CA48" s="116"/>
      <c r="CB48" s="116" t="s">
        <v>1</v>
      </c>
      <c r="CC48" s="116"/>
      <c r="CD48" s="116" t="s">
        <v>1</v>
      </c>
      <c r="CE48" s="116"/>
      <c r="CF48" s="27"/>
      <c r="CG48" s="116" t="s">
        <v>1</v>
      </c>
      <c r="CH48" s="116"/>
      <c r="CI48" s="116" t="s">
        <v>1</v>
      </c>
      <c r="CJ48" s="116"/>
      <c r="CK48" s="54">
        <v>1975</v>
      </c>
      <c r="CL48" s="69"/>
      <c r="CM48" s="1"/>
      <c r="CN48" s="1"/>
      <c r="CO48" s="2"/>
      <c r="CP48" s="116" t="s">
        <v>1</v>
      </c>
      <c r="CQ48" s="116"/>
      <c r="CR48" s="116" t="s">
        <v>1</v>
      </c>
      <c r="CS48" s="116"/>
      <c r="CT48" s="116" t="s">
        <v>1</v>
      </c>
      <c r="CU48" s="116"/>
      <c r="CV48" s="116" t="s">
        <v>1</v>
      </c>
      <c r="CW48" s="116"/>
      <c r="CX48" s="116" t="s">
        <v>1</v>
      </c>
      <c r="CY48" s="116"/>
      <c r="CZ48" s="116" t="s">
        <v>1</v>
      </c>
      <c r="DA48" s="116"/>
      <c r="DB48" s="116" t="s">
        <v>1</v>
      </c>
      <c r="DC48" s="116"/>
      <c r="DD48" s="3"/>
      <c r="DE48" s="116" t="s">
        <v>1</v>
      </c>
      <c r="DF48" s="116"/>
      <c r="DG48" s="3"/>
      <c r="DH48" s="3"/>
      <c r="DI48" s="116" t="s">
        <v>1</v>
      </c>
      <c r="DJ48" s="116"/>
      <c r="DK48" s="3"/>
      <c r="DL48" s="116" t="s">
        <v>1</v>
      </c>
      <c r="DM48" s="116"/>
      <c r="DN48" s="116" t="s">
        <v>1</v>
      </c>
      <c r="DO48" s="116"/>
      <c r="DP48" s="3"/>
      <c r="DQ48" s="116" t="s">
        <v>1</v>
      </c>
      <c r="DR48" s="116"/>
      <c r="DS48" s="116" t="s">
        <v>1</v>
      </c>
      <c r="DT48" s="116"/>
      <c r="DU48" s="116" t="s">
        <v>1</v>
      </c>
      <c r="DV48" s="116"/>
      <c r="DW48" s="116" t="s">
        <v>1</v>
      </c>
      <c r="DX48" s="116"/>
      <c r="DY48" s="3"/>
      <c r="DZ48" s="3"/>
      <c r="EA48" s="116" t="s">
        <v>1</v>
      </c>
      <c r="EB48" s="116"/>
      <c r="EC48" s="116" t="s">
        <v>1</v>
      </c>
      <c r="ED48" s="116"/>
      <c r="EE48" s="26"/>
      <c r="EF48" s="116" t="s">
        <v>1</v>
      </c>
      <c r="EG48" s="116"/>
      <c r="EH48" s="116" t="s">
        <v>1</v>
      </c>
      <c r="EI48" s="116"/>
      <c r="EJ48" s="27"/>
      <c r="EK48" s="69"/>
      <c r="EL48" s="116" t="s">
        <v>312</v>
      </c>
      <c r="EM48" s="116"/>
      <c r="EN48" s="116" t="s">
        <v>312</v>
      </c>
      <c r="EO48" s="116"/>
      <c r="EP48" s="3"/>
      <c r="EQ48" s="9"/>
      <c r="ER48" s="9"/>
      <c r="ES48" s="3"/>
      <c r="ET48" s="3"/>
      <c r="EU48" s="3"/>
      <c r="EV48" s="3"/>
      <c r="EW48" s="3"/>
      <c r="EX48" s="3"/>
      <c r="EY48" s="7"/>
      <c r="EZ48" s="7"/>
      <c r="FA48" s="7"/>
      <c r="FB48" s="3"/>
      <c r="FC48" s="3"/>
      <c r="FD48" s="3"/>
      <c r="FE48" s="3"/>
      <c r="FF48" s="3"/>
      <c r="FG48" s="7"/>
      <c r="FH48" s="7"/>
      <c r="FI48" s="3"/>
      <c r="FJ48" s="3"/>
      <c r="FK48" s="7"/>
      <c r="FL48" s="9"/>
      <c r="FM48" s="116" t="s">
        <v>312</v>
      </c>
      <c r="FN48" s="116"/>
      <c r="FO48" s="54">
        <v>1973</v>
      </c>
      <c r="FP48" s="6"/>
      <c r="FQ48" s="7"/>
      <c r="FR48" s="6"/>
      <c r="FS48" s="6"/>
      <c r="FT48" s="117"/>
      <c r="FU48" s="117"/>
    </row>
    <row r="49" spans="1:177" ht="22.05" customHeight="1">
      <c r="A49" s="117"/>
      <c r="B49" s="117"/>
      <c r="D49" s="116" t="s">
        <v>362</v>
      </c>
      <c r="E49" s="116"/>
      <c r="H49" s="116" t="s">
        <v>364</v>
      </c>
      <c r="I49" s="116"/>
      <c r="J49" s="7"/>
      <c r="L49" s="9"/>
      <c r="M49" s="116" t="s">
        <v>76</v>
      </c>
      <c r="N49" s="116"/>
      <c r="Q49"/>
      <c r="R49" s="116" t="s">
        <v>186</v>
      </c>
      <c r="S49" s="116"/>
      <c r="T49" s="116" t="s">
        <v>42</v>
      </c>
      <c r="U49" s="116"/>
      <c r="V49" s="116" t="s">
        <v>187</v>
      </c>
      <c r="W49" s="116"/>
      <c r="X49" s="3"/>
      <c r="Y49" s="3"/>
      <c r="Z49" s="116" t="s">
        <v>188</v>
      </c>
      <c r="AA49" s="116"/>
      <c r="AB49" s="3"/>
      <c r="AC49" s="3"/>
      <c r="AD49" s="3"/>
      <c r="AE49" s="3"/>
      <c r="AF49" s="3"/>
      <c r="AG49" s="116" t="s">
        <v>111</v>
      </c>
      <c r="AH49" s="116"/>
      <c r="AI49" s="116" t="s">
        <v>89</v>
      </c>
      <c r="AJ49" s="116"/>
      <c r="AK49" s="26"/>
      <c r="AL49" s="1"/>
      <c r="AM49" s="1"/>
      <c r="AN49" s="1"/>
      <c r="AO49" s="2"/>
      <c r="AP49" s="2"/>
      <c r="AQ49" s="69"/>
      <c r="AR49" s="116" t="s">
        <v>189</v>
      </c>
      <c r="AS49" s="116"/>
      <c r="AT49" s="116" t="s">
        <v>189</v>
      </c>
      <c r="AU49" s="116"/>
      <c r="AV49" s="3"/>
      <c r="AW49" s="116" t="s">
        <v>190</v>
      </c>
      <c r="AX49" s="116"/>
      <c r="AY49" s="3"/>
      <c r="AZ49" s="3"/>
      <c r="BA49" s="3"/>
      <c r="BB49" s="116" t="s">
        <v>191</v>
      </c>
      <c r="BC49" s="116"/>
      <c r="BD49" s="116" t="s">
        <v>192</v>
      </c>
      <c r="BE49" s="116"/>
      <c r="BF49" s="116" t="s">
        <v>193</v>
      </c>
      <c r="BG49" s="116"/>
      <c r="BH49" s="69"/>
      <c r="BI49" s="3"/>
      <c r="BJ49" s="3"/>
      <c r="BK49" s="3"/>
      <c r="BL49" s="3"/>
      <c r="BM49" s="3"/>
      <c r="BN49" s="3"/>
      <c r="BO49" s="3"/>
      <c r="BP49" s="116" t="s">
        <v>194</v>
      </c>
      <c r="BQ49" s="116"/>
      <c r="BR49" s="116" t="s">
        <v>191</v>
      </c>
      <c r="BS49" s="116"/>
      <c r="BT49" s="116" t="s">
        <v>191</v>
      </c>
      <c r="BU49" s="116"/>
      <c r="BV49" s="116" t="s">
        <v>191</v>
      </c>
      <c r="BW49" s="116"/>
      <c r="BX49" s="26"/>
      <c r="BY49" s="26"/>
      <c r="BZ49" s="116" t="s">
        <v>154</v>
      </c>
      <c r="CA49" s="116"/>
      <c r="CB49" s="116" t="s">
        <v>41</v>
      </c>
      <c r="CC49" s="116"/>
      <c r="CD49" s="116" t="s">
        <v>195</v>
      </c>
      <c r="CE49" s="116"/>
      <c r="CF49" s="27"/>
      <c r="CG49" s="119" t="s">
        <v>196</v>
      </c>
      <c r="CH49" s="116"/>
      <c r="CI49" s="119" t="s">
        <v>196</v>
      </c>
      <c r="CJ49" s="116"/>
      <c r="CK49" s="69"/>
      <c r="CL49" s="69"/>
      <c r="CM49" s="1"/>
      <c r="CN49" s="1"/>
      <c r="CO49" s="2"/>
      <c r="CP49" s="116" t="s">
        <v>65</v>
      </c>
      <c r="CQ49" s="116"/>
      <c r="CR49" s="116" t="s">
        <v>66</v>
      </c>
      <c r="CS49" s="116"/>
      <c r="CT49" s="116" t="s">
        <v>67</v>
      </c>
      <c r="CU49" s="116"/>
      <c r="CV49" s="116" t="s">
        <v>68</v>
      </c>
      <c r="CW49" s="116"/>
      <c r="CX49" s="116" t="s">
        <v>68</v>
      </c>
      <c r="CY49" s="116"/>
      <c r="CZ49" s="116" t="s">
        <v>69</v>
      </c>
      <c r="DA49" s="116"/>
      <c r="DB49" s="116" t="s">
        <v>70</v>
      </c>
      <c r="DC49" s="116"/>
      <c r="DD49" s="3"/>
      <c r="DE49" s="116" t="s">
        <v>70</v>
      </c>
      <c r="DF49" s="116"/>
      <c r="DG49" s="3"/>
      <c r="DH49" s="3"/>
      <c r="DI49" s="116" t="s">
        <v>70</v>
      </c>
      <c r="DJ49" s="116"/>
      <c r="DK49" s="3"/>
      <c r="DL49" s="116" t="s">
        <v>71</v>
      </c>
      <c r="DM49" s="116"/>
      <c r="DN49" s="116" t="s">
        <v>72</v>
      </c>
      <c r="DO49" s="116"/>
      <c r="DP49" s="3"/>
      <c r="DQ49" s="116" t="s">
        <v>73</v>
      </c>
      <c r="DR49" s="116"/>
      <c r="DS49" s="116" t="s">
        <v>73</v>
      </c>
      <c r="DT49" s="116"/>
      <c r="DU49" s="116" t="s">
        <v>74</v>
      </c>
      <c r="DV49" s="116"/>
      <c r="DW49" s="116" t="s">
        <v>74</v>
      </c>
      <c r="DX49" s="116"/>
      <c r="DY49" s="3"/>
      <c r="DZ49" s="3"/>
      <c r="EA49" s="116" t="s">
        <v>74</v>
      </c>
      <c r="EB49" s="116"/>
      <c r="EC49" s="116" t="s">
        <v>75</v>
      </c>
      <c r="ED49" s="116"/>
      <c r="EE49" s="26"/>
      <c r="EF49" s="116" t="s">
        <v>76</v>
      </c>
      <c r="EG49" s="116"/>
      <c r="EH49" s="116" t="s">
        <v>76</v>
      </c>
      <c r="EI49" s="116"/>
      <c r="EJ49" s="27"/>
      <c r="EK49" s="69"/>
      <c r="EL49" s="116" t="s">
        <v>104</v>
      </c>
      <c r="EM49" s="116"/>
      <c r="EN49" s="116" t="s">
        <v>187</v>
      </c>
      <c r="EO49" s="116"/>
      <c r="EP49" s="3"/>
      <c r="EQ49" s="7"/>
      <c r="ER49" s="7"/>
      <c r="ES49" s="3"/>
      <c r="ET49" s="3"/>
      <c r="EU49" s="3"/>
      <c r="EV49" s="3"/>
      <c r="EW49" s="3"/>
      <c r="EX49" s="3"/>
      <c r="EY49" s="7"/>
      <c r="EZ49" s="7"/>
      <c r="FA49" s="7"/>
      <c r="FB49" s="3"/>
      <c r="FC49" s="3"/>
      <c r="FD49" s="3"/>
      <c r="FE49" s="3"/>
      <c r="FF49" s="3"/>
      <c r="FG49" s="7"/>
      <c r="FH49" s="7"/>
      <c r="FI49" s="3"/>
      <c r="FJ49" s="3"/>
      <c r="FK49" s="3"/>
      <c r="FL49" s="7"/>
      <c r="FM49" s="116" t="s">
        <v>75</v>
      </c>
      <c r="FN49" s="116"/>
      <c r="FO49" s="69"/>
      <c r="FP49" s="6"/>
      <c r="FQ49" s="7"/>
      <c r="FR49" s="6"/>
      <c r="FS49" s="6"/>
      <c r="FT49" s="117"/>
      <c r="FU49" s="117"/>
    </row>
    <row r="50" spans="1:177" ht="22.05" customHeight="1">
      <c r="A50" s="117"/>
      <c r="B50" s="117"/>
      <c r="D50" s="116" t="s">
        <v>363</v>
      </c>
      <c r="E50" s="116"/>
      <c r="H50" s="116" t="s">
        <v>365</v>
      </c>
      <c r="I50" s="116"/>
      <c r="J50" s="7"/>
      <c r="L50" s="9"/>
      <c r="M50" s="116" t="s">
        <v>324</v>
      </c>
      <c r="N50" s="116"/>
      <c r="O50" s="3"/>
      <c r="Q50"/>
      <c r="R50" s="116" t="s">
        <v>153</v>
      </c>
      <c r="S50" s="116"/>
      <c r="T50" s="116" t="s">
        <v>197</v>
      </c>
      <c r="U50" s="116"/>
      <c r="V50" s="116" t="s">
        <v>198</v>
      </c>
      <c r="W50" s="116"/>
      <c r="X50" s="3"/>
      <c r="Y50" s="3"/>
      <c r="Z50" s="116" t="s">
        <v>199</v>
      </c>
      <c r="AA50" s="116"/>
      <c r="AB50" s="3"/>
      <c r="AC50" s="3"/>
      <c r="AD50" s="3"/>
      <c r="AE50" s="3"/>
      <c r="AF50" s="3"/>
      <c r="AG50" s="116" t="s">
        <v>96</v>
      </c>
      <c r="AH50" s="116"/>
      <c r="AI50" s="116" t="s">
        <v>70</v>
      </c>
      <c r="AJ50" s="116"/>
      <c r="AK50" s="6"/>
      <c r="AL50" s="1"/>
      <c r="AM50" s="1"/>
      <c r="AN50" s="1"/>
      <c r="AO50" s="2"/>
      <c r="AP50" s="2"/>
      <c r="AQ50" s="69"/>
      <c r="AR50" s="116" t="s">
        <v>60</v>
      </c>
      <c r="AS50" s="116"/>
      <c r="AT50" s="116" t="s">
        <v>200</v>
      </c>
      <c r="AU50" s="116"/>
      <c r="AV50" s="3"/>
      <c r="AW50" s="116" t="s">
        <v>201</v>
      </c>
      <c r="AX50" s="116"/>
      <c r="AY50" s="3"/>
      <c r="AZ50" s="3"/>
      <c r="BA50" s="3"/>
      <c r="BB50" s="116" t="s">
        <v>202</v>
      </c>
      <c r="BC50" s="116"/>
      <c r="BD50" s="116" t="s">
        <v>202</v>
      </c>
      <c r="BE50" s="116"/>
      <c r="BF50" s="116" t="s">
        <v>203</v>
      </c>
      <c r="BG50" s="116"/>
      <c r="BH50" s="69"/>
      <c r="BI50" s="3"/>
      <c r="BJ50" s="3"/>
      <c r="BK50" s="3"/>
      <c r="BL50" s="3"/>
      <c r="BM50" s="3"/>
      <c r="BN50" s="3"/>
      <c r="BO50" s="3"/>
      <c r="BP50" s="116" t="s">
        <v>204</v>
      </c>
      <c r="BQ50" s="116"/>
      <c r="BR50" s="116" t="s">
        <v>205</v>
      </c>
      <c r="BS50" s="116"/>
      <c r="BT50" s="116" t="s">
        <v>69</v>
      </c>
      <c r="BU50" s="116"/>
      <c r="BV50" s="116" t="s">
        <v>63</v>
      </c>
      <c r="BW50" s="116"/>
      <c r="BX50" s="6"/>
      <c r="BY50" s="6"/>
      <c r="BZ50" s="116" t="s">
        <v>206</v>
      </c>
      <c r="CA50" s="116"/>
      <c r="CB50" s="116" t="s">
        <v>206</v>
      </c>
      <c r="CC50" s="116"/>
      <c r="CD50" s="116" t="s">
        <v>207</v>
      </c>
      <c r="CE50" s="116"/>
      <c r="CF50" s="7"/>
      <c r="CG50" s="116" t="s">
        <v>208</v>
      </c>
      <c r="CH50" s="116"/>
      <c r="CI50" s="116" t="s">
        <v>206</v>
      </c>
      <c r="CJ50" s="116"/>
      <c r="CK50" s="69"/>
      <c r="CL50" s="69"/>
      <c r="CM50" s="1"/>
      <c r="CN50" s="1"/>
      <c r="CO50" s="2"/>
      <c r="CP50" s="116" t="s">
        <v>77</v>
      </c>
      <c r="CQ50" s="116"/>
      <c r="CR50" s="116" t="s">
        <v>78</v>
      </c>
      <c r="CS50" s="116"/>
      <c r="CT50" s="116" t="s">
        <v>79</v>
      </c>
      <c r="CU50" s="116"/>
      <c r="CV50" s="116" t="s">
        <v>80</v>
      </c>
      <c r="CW50" s="116"/>
      <c r="CX50" s="116" t="s">
        <v>81</v>
      </c>
      <c r="CY50" s="116"/>
      <c r="CZ50" s="116" t="s">
        <v>63</v>
      </c>
      <c r="DA50" s="116"/>
      <c r="DB50" s="116" t="s">
        <v>82</v>
      </c>
      <c r="DC50" s="116"/>
      <c r="DD50" s="3"/>
      <c r="DE50" s="116" t="s">
        <v>83</v>
      </c>
      <c r="DF50" s="116"/>
      <c r="DG50" s="3"/>
      <c r="DH50" s="3"/>
      <c r="DI50" s="116" t="s">
        <v>84</v>
      </c>
      <c r="DJ50" s="116"/>
      <c r="DK50" s="3"/>
      <c r="DL50" s="116" t="s">
        <v>85</v>
      </c>
      <c r="DM50" s="116"/>
      <c r="DN50" s="116" t="s">
        <v>86</v>
      </c>
      <c r="DO50" s="116"/>
      <c r="DP50" s="3"/>
      <c r="DQ50" s="116" t="s">
        <v>87</v>
      </c>
      <c r="DR50" s="116"/>
      <c r="DS50" s="116" t="s">
        <v>88</v>
      </c>
      <c r="DT50" s="116"/>
      <c r="DU50" s="116" t="s">
        <v>13</v>
      </c>
      <c r="DV50" s="116"/>
      <c r="DW50" s="116" t="s">
        <v>89</v>
      </c>
      <c r="DX50" s="116"/>
      <c r="DY50" s="3"/>
      <c r="DZ50" s="3"/>
      <c r="EA50" s="116" t="s">
        <v>90</v>
      </c>
      <c r="EB50" s="116"/>
      <c r="EC50" s="116" t="s">
        <v>91</v>
      </c>
      <c r="ED50" s="116"/>
      <c r="EE50" s="6"/>
      <c r="EF50" s="116" t="s">
        <v>92</v>
      </c>
      <c r="EG50" s="116"/>
      <c r="EH50" s="116" t="s">
        <v>87</v>
      </c>
      <c r="EI50" s="116"/>
      <c r="EJ50" s="7"/>
      <c r="EK50" s="69"/>
      <c r="EL50" s="116" t="s">
        <v>308</v>
      </c>
      <c r="EM50" s="116"/>
      <c r="EN50" s="116" t="s">
        <v>309</v>
      </c>
      <c r="EO50" s="116"/>
      <c r="EP50" s="3"/>
      <c r="EQ50" s="7"/>
      <c r="ER50" s="7"/>
      <c r="ES50" s="3"/>
      <c r="ET50" s="3"/>
      <c r="EU50" s="3"/>
      <c r="EV50" s="3"/>
      <c r="EW50" s="3"/>
      <c r="EX50" s="3"/>
      <c r="EY50" s="7"/>
      <c r="EZ50" s="7"/>
      <c r="FA50" s="7"/>
      <c r="FB50" s="3"/>
      <c r="FC50" s="3"/>
      <c r="FD50" s="3"/>
      <c r="FE50" s="3"/>
      <c r="FF50" s="3"/>
      <c r="FG50" s="7"/>
      <c r="FH50" s="7"/>
      <c r="FI50" s="3"/>
      <c r="FJ50" s="3"/>
      <c r="FK50" s="3"/>
      <c r="FL50" s="3"/>
      <c r="FM50" s="116" t="s">
        <v>69</v>
      </c>
      <c r="FN50" s="116"/>
      <c r="FO50" s="69"/>
      <c r="FP50" s="6"/>
      <c r="FQ50" s="7"/>
      <c r="FR50" s="6"/>
      <c r="FS50" s="6"/>
      <c r="FT50" s="117"/>
      <c r="FU50" s="117"/>
    </row>
    <row r="51" spans="1:177" ht="22.05" customHeight="1">
      <c r="A51" s="118"/>
      <c r="B51" s="118"/>
      <c r="K51" s="9"/>
      <c r="L51" s="9"/>
      <c r="Q51"/>
      <c r="CM51" s="1"/>
      <c r="CN51" s="1"/>
      <c r="CO51" s="2"/>
      <c r="CP51" s="2"/>
      <c r="CQ51" s="2"/>
      <c r="CR51" s="2"/>
      <c r="CS51" s="2"/>
      <c r="CT51" s="2"/>
      <c r="CU51" s="2"/>
      <c r="CV51" s="3"/>
      <c r="CW51" s="3"/>
      <c r="CX51" s="2"/>
      <c r="CY51" s="69"/>
      <c r="CZ51" s="3"/>
      <c r="DA51" s="3"/>
      <c r="DB51" s="9"/>
      <c r="DC51" s="31"/>
      <c r="DD51" s="3"/>
      <c r="DE51" s="3"/>
      <c r="DF51" s="10"/>
      <c r="DG51" s="3"/>
      <c r="DH51" s="3"/>
      <c r="DI51" s="3"/>
      <c r="DJ51" s="10"/>
      <c r="DK51" s="3"/>
      <c r="DL51" s="9"/>
      <c r="DM51" s="31"/>
      <c r="DN51" s="3"/>
      <c r="DO51" s="3"/>
      <c r="DP51" s="3"/>
      <c r="DQ51" s="3"/>
      <c r="DR51" s="10"/>
      <c r="DS51" s="3"/>
      <c r="DT51" s="3"/>
      <c r="DU51" s="3"/>
      <c r="DV51" s="3"/>
      <c r="DW51" s="3"/>
      <c r="DX51" s="3"/>
      <c r="DY51" s="3"/>
      <c r="DZ51" s="3"/>
      <c r="EA51" s="3"/>
      <c r="EB51" s="6"/>
      <c r="EC51" s="6"/>
      <c r="ED51" s="36"/>
      <c r="EE51" s="3"/>
      <c r="EF51" s="3"/>
      <c r="EG51" s="10"/>
      <c r="EH51" s="3"/>
      <c r="EI51" s="7"/>
      <c r="EJ51" s="7"/>
      <c r="EK51" s="7"/>
      <c r="EL51" s="3"/>
      <c r="EM51" s="3"/>
      <c r="EN51" s="3"/>
      <c r="EO51" s="3"/>
      <c r="EP51" s="3"/>
      <c r="EQ51" s="7"/>
      <c r="ER51" s="7"/>
      <c r="ES51" s="3"/>
      <c r="ET51" s="3"/>
      <c r="EU51" s="3"/>
      <c r="EV51" s="3"/>
      <c r="EW51" s="3"/>
      <c r="EX51" s="3"/>
      <c r="EY51" s="7"/>
      <c r="EZ51" s="7"/>
      <c r="FA51" s="7"/>
      <c r="FB51" s="3"/>
      <c r="FC51" s="3"/>
      <c r="FD51" s="3"/>
      <c r="FE51" s="3"/>
      <c r="FF51" s="3"/>
      <c r="FG51" s="7"/>
      <c r="FH51" s="7"/>
      <c r="FI51" s="3"/>
      <c r="FJ51" s="3"/>
      <c r="FK51" s="3"/>
      <c r="FL51" s="9"/>
      <c r="FM51" s="58"/>
      <c r="FN51" s="9"/>
      <c r="FO51" s="9"/>
      <c r="FP51" s="9"/>
      <c r="FQ51" s="7"/>
      <c r="FR51" s="6"/>
      <c r="FS51" s="6"/>
      <c r="FT51" s="118"/>
      <c r="FU51" s="118"/>
    </row>
    <row r="52" spans="1:177" ht="22.05" customHeight="1">
      <c r="A52" s="128" t="s">
        <v>356</v>
      </c>
      <c r="B52" s="128"/>
      <c r="K52" s="9"/>
      <c r="L52" s="9"/>
      <c r="Q52"/>
      <c r="CM52" s="1"/>
      <c r="CN52" s="1"/>
      <c r="CO52" s="2"/>
      <c r="CP52" s="2"/>
      <c r="CQ52" s="2"/>
      <c r="CR52" s="2"/>
      <c r="CS52" s="2"/>
      <c r="CT52" s="2"/>
      <c r="CU52" s="2"/>
      <c r="CV52" s="3"/>
      <c r="CW52" s="3"/>
      <c r="CX52" s="2"/>
      <c r="CY52" s="69"/>
      <c r="CZ52" s="3"/>
      <c r="DA52" s="3"/>
      <c r="DB52" s="6"/>
      <c r="DC52" s="10"/>
      <c r="DD52" s="3"/>
      <c r="DE52" s="18"/>
      <c r="DF52" s="13"/>
      <c r="DG52" s="10"/>
      <c r="DH52" s="3"/>
      <c r="DI52" s="18"/>
      <c r="DJ52" s="13"/>
      <c r="DK52" s="10"/>
      <c r="DL52" s="6"/>
      <c r="DM52" s="10"/>
      <c r="DN52" s="3"/>
      <c r="DO52" s="3"/>
      <c r="DP52" s="3"/>
      <c r="DQ52" s="18"/>
      <c r="DR52" s="13"/>
      <c r="DS52" s="10"/>
      <c r="DT52" s="3"/>
      <c r="DU52" s="3"/>
      <c r="DV52" s="3"/>
      <c r="DW52" s="3"/>
      <c r="DX52" s="3"/>
      <c r="DY52" s="3"/>
      <c r="DZ52" s="3"/>
      <c r="EA52" s="3"/>
      <c r="EB52" s="6"/>
      <c r="EC52" s="6"/>
      <c r="ED52" s="10"/>
      <c r="EE52" s="3"/>
      <c r="EF52" s="18"/>
      <c r="EG52" s="13"/>
      <c r="EH52" s="10"/>
      <c r="EI52" s="7"/>
      <c r="EJ52" s="7"/>
      <c r="EK52" s="7"/>
      <c r="EL52" s="3"/>
      <c r="EM52" s="3"/>
      <c r="EN52" s="3"/>
      <c r="EO52" s="3"/>
      <c r="EP52" s="3"/>
      <c r="EQ52" s="7"/>
      <c r="ER52" s="7"/>
      <c r="ES52" s="3"/>
      <c r="ET52" s="3"/>
      <c r="EU52" s="3"/>
      <c r="EV52" s="3"/>
      <c r="EW52" s="3"/>
      <c r="EX52" s="3"/>
      <c r="EY52" s="7"/>
      <c r="EZ52" s="7"/>
      <c r="FA52" s="7"/>
      <c r="FB52" s="3"/>
      <c r="FC52" s="3"/>
      <c r="FD52" s="3"/>
      <c r="FE52" s="3"/>
      <c r="FF52" s="3"/>
      <c r="FG52" s="7"/>
      <c r="FH52" s="7"/>
      <c r="FI52" s="3"/>
      <c r="FJ52" s="3"/>
      <c r="FK52" s="3"/>
      <c r="FL52" s="58"/>
      <c r="FM52" s="19"/>
      <c r="FN52" s="19"/>
      <c r="FO52" s="31"/>
      <c r="FP52" s="9"/>
      <c r="FQ52" s="7"/>
      <c r="FR52" s="6"/>
      <c r="FS52" s="6"/>
      <c r="FT52" s="128" t="s">
        <v>356</v>
      </c>
      <c r="FU52" s="128"/>
    </row>
    <row r="53" spans="1:177" ht="22.05" customHeight="1">
      <c r="A53" s="128"/>
      <c r="B53" s="128"/>
      <c r="CM53" s="1"/>
      <c r="CN53" s="1"/>
      <c r="CO53" s="2"/>
      <c r="CP53" s="2"/>
      <c r="CQ53" s="2"/>
      <c r="CR53" s="2"/>
      <c r="CS53" s="2"/>
      <c r="CT53" s="2"/>
      <c r="CU53" s="2"/>
      <c r="CV53" s="3"/>
      <c r="CW53" s="3"/>
      <c r="CX53" s="2"/>
      <c r="CY53" s="69"/>
      <c r="CZ53" s="3"/>
      <c r="DA53" s="3"/>
      <c r="DB53" s="116" t="s">
        <v>1</v>
      </c>
      <c r="DC53" s="116"/>
      <c r="DD53" s="116" t="s">
        <v>1</v>
      </c>
      <c r="DE53" s="116"/>
      <c r="DF53" s="116" t="s">
        <v>1</v>
      </c>
      <c r="DG53" s="116"/>
      <c r="DH53" s="116" t="s">
        <v>1</v>
      </c>
      <c r="DI53" s="116"/>
      <c r="DJ53" s="116" t="s">
        <v>1</v>
      </c>
      <c r="DK53" s="116"/>
      <c r="DL53" s="116" t="s">
        <v>1</v>
      </c>
      <c r="DM53" s="116"/>
      <c r="DN53" s="3"/>
      <c r="DO53" s="3"/>
      <c r="DP53" s="116" t="s">
        <v>1</v>
      </c>
      <c r="DQ53" s="116"/>
      <c r="DR53" s="116" t="s">
        <v>1</v>
      </c>
      <c r="DS53" s="116"/>
      <c r="DT53" s="3"/>
      <c r="DU53" s="3"/>
      <c r="DV53" s="3"/>
      <c r="DW53" s="3"/>
      <c r="DX53" s="3"/>
      <c r="DY53" s="3"/>
      <c r="DZ53" s="3"/>
      <c r="EA53" s="3"/>
      <c r="EB53" s="6"/>
      <c r="EC53" s="116" t="s">
        <v>1</v>
      </c>
      <c r="ED53" s="116"/>
      <c r="EE53" s="116" t="s">
        <v>1</v>
      </c>
      <c r="EF53" s="116"/>
      <c r="EG53" s="116" t="s">
        <v>1</v>
      </c>
      <c r="EH53" s="116"/>
      <c r="EI53" s="7"/>
      <c r="EJ53" s="7"/>
      <c r="EK53" s="7"/>
      <c r="EL53" s="3"/>
      <c r="EM53" s="3"/>
      <c r="EN53" s="3"/>
      <c r="EO53" s="3"/>
      <c r="EP53" s="3"/>
      <c r="EQ53" s="7"/>
      <c r="ER53" s="7"/>
      <c r="ES53" s="3"/>
      <c r="ET53" s="3"/>
      <c r="EU53" s="3"/>
      <c r="EV53" s="3"/>
      <c r="EW53" s="3"/>
      <c r="EX53" s="3"/>
      <c r="EY53" s="7"/>
      <c r="EZ53" s="7"/>
      <c r="FA53" s="7"/>
      <c r="FB53" s="3"/>
      <c r="FC53" s="3"/>
      <c r="FD53" s="3"/>
      <c r="FE53" s="3"/>
      <c r="FF53" s="3"/>
      <c r="FG53" s="7"/>
      <c r="FH53" s="7"/>
      <c r="FI53" s="3"/>
      <c r="FJ53" s="3"/>
      <c r="FK53" s="3"/>
      <c r="FL53" s="116" t="s">
        <v>312</v>
      </c>
      <c r="FM53" s="116"/>
      <c r="FN53" s="116" t="s">
        <v>312</v>
      </c>
      <c r="FO53" s="116"/>
      <c r="FP53" s="3"/>
      <c r="FQ53" s="7"/>
      <c r="FR53" s="6"/>
      <c r="FS53" s="6"/>
      <c r="FT53" s="128"/>
      <c r="FU53" s="128"/>
    </row>
    <row r="54" spans="1:177" ht="22.05" customHeight="1">
      <c r="A54" s="128"/>
      <c r="B54" s="128"/>
      <c r="CM54" s="1"/>
      <c r="CN54" s="1"/>
      <c r="CO54" s="2"/>
      <c r="CP54" s="2"/>
      <c r="CQ54" s="2"/>
      <c r="CR54" s="2"/>
      <c r="CS54" s="2"/>
      <c r="CT54" s="2"/>
      <c r="CU54" s="2"/>
      <c r="CV54" s="3"/>
      <c r="CW54" s="3"/>
      <c r="CX54" s="2"/>
      <c r="CY54" s="69"/>
      <c r="CZ54" s="3"/>
      <c r="DA54" s="3"/>
      <c r="DB54" s="116" t="s">
        <v>94</v>
      </c>
      <c r="DC54" s="116"/>
      <c r="DD54" s="116" t="s">
        <v>95</v>
      </c>
      <c r="DE54" s="116"/>
      <c r="DF54" s="116" t="s">
        <v>96</v>
      </c>
      <c r="DG54" s="116"/>
      <c r="DH54" s="116" t="s">
        <v>97</v>
      </c>
      <c r="DI54" s="116"/>
      <c r="DJ54" s="116" t="s">
        <v>97</v>
      </c>
      <c r="DK54" s="116"/>
      <c r="DL54" s="116" t="s">
        <v>98</v>
      </c>
      <c r="DM54" s="116"/>
      <c r="DN54" s="3"/>
      <c r="DO54" s="3"/>
      <c r="DP54" s="116" t="s">
        <v>25</v>
      </c>
      <c r="DQ54" s="116"/>
      <c r="DR54" s="116" t="s">
        <v>99</v>
      </c>
      <c r="DS54" s="116"/>
      <c r="DT54" s="3"/>
      <c r="DU54" s="3"/>
      <c r="DV54" s="3"/>
      <c r="DW54" s="3"/>
      <c r="DX54" s="3"/>
      <c r="DY54" s="3"/>
      <c r="DZ54" s="3"/>
      <c r="EA54" s="3"/>
      <c r="EB54" s="6"/>
      <c r="EC54" s="116" t="s">
        <v>100</v>
      </c>
      <c r="ED54" s="116"/>
      <c r="EE54" s="116" t="s">
        <v>101</v>
      </c>
      <c r="EF54" s="116"/>
      <c r="EG54" s="116" t="s">
        <v>102</v>
      </c>
      <c r="EH54" s="116"/>
      <c r="EI54" s="7"/>
      <c r="EJ54" s="7"/>
      <c r="EK54" s="7"/>
      <c r="EL54" s="3"/>
      <c r="EM54" s="3"/>
      <c r="EN54" s="3"/>
      <c r="EO54" s="3"/>
      <c r="EP54" s="3"/>
      <c r="EQ54" s="7"/>
      <c r="ER54" s="7"/>
      <c r="ES54" s="3"/>
      <c r="ET54" s="3"/>
      <c r="EU54" s="3"/>
      <c r="EV54" s="3"/>
      <c r="EW54" s="3"/>
      <c r="EX54" s="3"/>
      <c r="EY54" s="7"/>
      <c r="EZ54" s="7"/>
      <c r="FA54" s="7"/>
      <c r="FB54" s="3"/>
      <c r="FC54" s="3"/>
      <c r="FD54" s="3"/>
      <c r="FE54" s="3"/>
      <c r="FF54" s="3"/>
      <c r="FG54" s="7"/>
      <c r="FH54" s="7"/>
      <c r="FI54" s="3"/>
      <c r="FJ54" s="3"/>
      <c r="FK54" s="3"/>
      <c r="FL54" s="116" t="s">
        <v>310</v>
      </c>
      <c r="FM54" s="116"/>
      <c r="FN54" s="116" t="s">
        <v>310</v>
      </c>
      <c r="FO54" s="116"/>
      <c r="FP54" s="3"/>
      <c r="FQ54" s="7"/>
      <c r="FR54" s="6"/>
      <c r="FS54" s="6"/>
      <c r="FT54" s="128"/>
      <c r="FU54" s="128"/>
    </row>
    <row r="55" spans="1:177" ht="22.05" customHeight="1">
      <c r="A55" s="128"/>
      <c r="B55" s="128"/>
      <c r="CM55" s="1"/>
      <c r="CN55" s="1"/>
      <c r="CO55" s="2"/>
      <c r="CP55" s="2"/>
      <c r="CQ55" s="2"/>
      <c r="CR55" s="2"/>
      <c r="CS55" s="2"/>
      <c r="CT55" s="2"/>
      <c r="CU55" s="2"/>
      <c r="CV55" s="3"/>
      <c r="CW55" s="3"/>
      <c r="CX55" s="2"/>
      <c r="CY55" s="69"/>
      <c r="CZ55" s="3"/>
      <c r="DA55" s="3"/>
      <c r="DB55" s="116" t="s">
        <v>103</v>
      </c>
      <c r="DC55" s="116"/>
      <c r="DD55" s="116" t="s">
        <v>104</v>
      </c>
      <c r="DE55" s="116"/>
      <c r="DF55" s="116" t="s">
        <v>104</v>
      </c>
      <c r="DG55" s="116"/>
      <c r="DH55" s="116" t="s">
        <v>105</v>
      </c>
      <c r="DI55" s="116"/>
      <c r="DJ55" s="116" t="s">
        <v>106</v>
      </c>
      <c r="DK55" s="116"/>
      <c r="DL55" s="116" t="s">
        <v>107</v>
      </c>
      <c r="DM55" s="116"/>
      <c r="DN55" s="3"/>
      <c r="DO55" s="3"/>
      <c r="DP55" s="116" t="s">
        <v>108</v>
      </c>
      <c r="DQ55" s="116"/>
      <c r="DR55" s="116" t="s">
        <v>66</v>
      </c>
      <c r="DS55" s="116"/>
      <c r="DT55" s="3"/>
      <c r="DU55" s="3"/>
      <c r="DV55" s="3"/>
      <c r="DW55" s="3"/>
      <c r="DX55" s="3"/>
      <c r="DY55" s="3"/>
      <c r="DZ55" s="3"/>
      <c r="EA55" s="3"/>
      <c r="EB55" s="6"/>
      <c r="EC55" s="116" t="s">
        <v>109</v>
      </c>
      <c r="ED55" s="116"/>
      <c r="EE55" s="6"/>
      <c r="EF55" s="6"/>
      <c r="EG55" s="7"/>
      <c r="EH55" s="7"/>
      <c r="EI55" s="7"/>
      <c r="EJ55" s="7"/>
      <c r="EK55" s="7"/>
      <c r="EL55" s="3"/>
      <c r="EM55" s="3"/>
      <c r="EN55" s="3"/>
      <c r="EO55" s="3"/>
      <c r="EQ55" s="7"/>
      <c r="ER55" s="7"/>
      <c r="FL55" s="116" t="s">
        <v>160</v>
      </c>
      <c r="FM55" s="116"/>
      <c r="FN55" s="116" t="s">
        <v>202</v>
      </c>
      <c r="FO55" s="116"/>
      <c r="FP55" s="3"/>
      <c r="FT55" s="128"/>
      <c r="FU55" s="128"/>
    </row>
    <row r="56" spans="1:177" ht="22.05" customHeight="1">
      <c r="A56" s="99"/>
      <c r="B56" s="99"/>
      <c r="FT56" s="99"/>
      <c r="FU56" s="99"/>
    </row>
    <row r="57" spans="1:177" ht="22.05" customHeight="1">
      <c r="BT57" s="9"/>
      <c r="BU57" s="7"/>
    </row>
    <row r="58" spans="1:177" ht="22.05" customHeight="1">
      <c r="BT58" s="9"/>
      <c r="BU58" s="9"/>
    </row>
    <row r="59" spans="1:177" ht="22.05" customHeight="1">
      <c r="BT59" s="9"/>
      <c r="BU59" s="9"/>
    </row>
    <row r="60" spans="1:177" ht="22.05" customHeight="1">
      <c r="BT60" s="9"/>
      <c r="BU60" s="9"/>
    </row>
    <row r="61" spans="1:177" ht="22.05" customHeight="1">
      <c r="BT61" s="9"/>
      <c r="BU61" s="9"/>
    </row>
    <row r="62" spans="1:177" ht="22.05" customHeight="1">
      <c r="BT62" s="9"/>
      <c r="BU62" s="9"/>
    </row>
    <row r="63" spans="1:177" ht="22.05" customHeight="1">
      <c r="BT63" s="9"/>
      <c r="BU63" s="9"/>
    </row>
    <row r="64" spans="1:177" ht="22.05" customHeight="1">
      <c r="BT64" s="9"/>
      <c r="BU64" s="9"/>
    </row>
    <row r="65" spans="72:73" ht="22.05" customHeight="1">
      <c r="BT65" s="9"/>
      <c r="BU65" s="9"/>
    </row>
    <row r="66" spans="72:73" ht="22.05" customHeight="1">
      <c r="BT66" s="9"/>
      <c r="BU66" s="9"/>
    </row>
    <row r="67" spans="72:73" ht="22.05" customHeight="1">
      <c r="BT67" s="9"/>
      <c r="BU67" s="9"/>
    </row>
    <row r="68" spans="72:73" ht="22.05" customHeight="1">
      <c r="BT68" s="9"/>
      <c r="BU68" s="9"/>
    </row>
    <row r="69" spans="72:73" ht="22.05" customHeight="1">
      <c r="BT69" s="9"/>
      <c r="BU69" s="9"/>
    </row>
    <row r="70" spans="72:73" ht="22.05" customHeight="1">
      <c r="BT70" s="9"/>
      <c r="BU70" s="9"/>
    </row>
    <row r="71" spans="72:73" ht="22.05" customHeight="1">
      <c r="BT71" s="9"/>
      <c r="BU71" s="9"/>
    </row>
    <row r="72" spans="72:73" ht="22.05" customHeight="1">
      <c r="BT72" s="9"/>
      <c r="BU72" s="9"/>
    </row>
    <row r="73" spans="72:73" ht="22.05" customHeight="1">
      <c r="BT73" s="9"/>
      <c r="BU73" s="9"/>
    </row>
    <row r="74" spans="72:73" ht="22.05" customHeight="1">
      <c r="BT74" s="3"/>
      <c r="BU74" s="9"/>
    </row>
    <row r="75" spans="72:73" ht="22.05" customHeight="1">
      <c r="BT75" s="7"/>
      <c r="BU75" s="3"/>
    </row>
    <row r="76" spans="72:73" ht="22.05" customHeight="1">
      <c r="BT76" s="7"/>
      <c r="BU76" s="7"/>
    </row>
    <row r="77" spans="72:73" ht="22.05" customHeight="1">
      <c r="BT77" s="7"/>
      <c r="BU77" s="7"/>
    </row>
    <row r="78" spans="72:73" ht="22.05" customHeight="1">
      <c r="BT78" s="7"/>
      <c r="BU78" s="7"/>
    </row>
    <row r="79" spans="72:73" ht="22.05" customHeight="1">
      <c r="BT79" s="7"/>
      <c r="BU79" s="7"/>
    </row>
    <row r="80" spans="72:73" ht="22.05" customHeight="1">
      <c r="BT80" s="7"/>
      <c r="BU80" s="7"/>
    </row>
    <row r="81" spans="72:73" ht="22.05" customHeight="1">
      <c r="BT81" s="7"/>
      <c r="BU81" s="7"/>
    </row>
    <row r="82" spans="72:73" ht="22.05" customHeight="1">
      <c r="BT82" s="7"/>
      <c r="BU82" s="7"/>
    </row>
    <row r="83" spans="72:73" ht="22.05" customHeight="1">
      <c r="BT83" s="7"/>
      <c r="BU83" s="7"/>
    </row>
    <row r="84" spans="72:73" ht="22.05" customHeight="1">
      <c r="BT84" s="7"/>
      <c r="BU84" s="7"/>
    </row>
    <row r="85" spans="72:73" ht="22.05" customHeight="1">
      <c r="BT85" s="7"/>
      <c r="BU85" s="7"/>
    </row>
  </sheetData>
  <mergeCells count="519">
    <mergeCell ref="FT22:FU26"/>
    <mergeCell ref="FT27:FU31"/>
    <mergeCell ref="FT32:FU36"/>
    <mergeCell ref="FT37:FU41"/>
    <mergeCell ref="FT42:FU46"/>
    <mergeCell ref="FT47:FU51"/>
    <mergeCell ref="FT52:FU55"/>
    <mergeCell ref="FT10:FU13"/>
    <mergeCell ref="FT14:FU17"/>
    <mergeCell ref="FT18:FU21"/>
    <mergeCell ref="FL55:FM55"/>
    <mergeCell ref="FN55:FO55"/>
    <mergeCell ref="FM25:FN25"/>
    <mergeCell ref="FM23:FN23"/>
    <mergeCell ref="FI25:FJ25"/>
    <mergeCell ref="FI23:FJ23"/>
    <mergeCell ref="EX33:EY33"/>
    <mergeCell ref="EX35:EY35"/>
    <mergeCell ref="A27:B31"/>
    <mergeCell ref="A37:B41"/>
    <mergeCell ref="A52:B55"/>
    <mergeCell ref="DY40:DZ40"/>
    <mergeCell ref="DY39:DZ39"/>
    <mergeCell ref="DY38:DZ38"/>
    <mergeCell ref="EH40:EI40"/>
    <mergeCell ref="EH39:EI39"/>
    <mergeCell ref="EH38:EI38"/>
    <mergeCell ref="FF35:FG35"/>
    <mergeCell ref="EM40:EN40"/>
    <mergeCell ref="EQ40:ER40"/>
    <mergeCell ref="EU40:EV40"/>
    <mergeCell ref="EX40:EY40"/>
    <mergeCell ref="FB40:FC40"/>
    <mergeCell ref="FF40:FG40"/>
    <mergeCell ref="DW35:DX35"/>
    <mergeCell ref="DW34:DX34"/>
    <mergeCell ref="DW33:DX33"/>
    <mergeCell ref="CM35:CN35"/>
    <mergeCell ref="CM34:CN34"/>
    <mergeCell ref="CM33:CN33"/>
    <mergeCell ref="CU40:CV40"/>
    <mergeCell ref="CU38:CV38"/>
    <mergeCell ref="DM40:DN40"/>
    <mergeCell ref="DM38:DN38"/>
    <mergeCell ref="DB55:DC55"/>
    <mergeCell ref="DD55:DE55"/>
    <mergeCell ref="DF55:DG55"/>
    <mergeCell ref="DH55:DI55"/>
    <mergeCell ref="DJ55:DK55"/>
    <mergeCell ref="DL55:DM55"/>
    <mergeCell ref="DP55:DQ55"/>
    <mergeCell ref="DR55:DS55"/>
    <mergeCell ref="EC55:ED55"/>
    <mergeCell ref="EE53:EF53"/>
    <mergeCell ref="EG53:EH53"/>
    <mergeCell ref="DB54:DC54"/>
    <mergeCell ref="DD54:DE54"/>
    <mergeCell ref="DF54:DG54"/>
    <mergeCell ref="DH54:DI54"/>
    <mergeCell ref="DJ54:DK54"/>
    <mergeCell ref="DL54:DM54"/>
    <mergeCell ref="DP54:DQ54"/>
    <mergeCell ref="DR54:DS54"/>
    <mergeCell ref="EC54:ED54"/>
    <mergeCell ref="EE54:EF54"/>
    <mergeCell ref="EG54:EH54"/>
    <mergeCell ref="DB53:DC53"/>
    <mergeCell ref="DD53:DE53"/>
    <mergeCell ref="DF53:DG53"/>
    <mergeCell ref="DH53:DI53"/>
    <mergeCell ref="DJ53:DK53"/>
    <mergeCell ref="DL53:DM53"/>
    <mergeCell ref="DP53:DQ53"/>
    <mergeCell ref="DR53:DS53"/>
    <mergeCell ref="EC53:ED53"/>
    <mergeCell ref="EF49:EG49"/>
    <mergeCell ref="EH49:EI49"/>
    <mergeCell ref="CP50:CQ50"/>
    <mergeCell ref="CR50:CS50"/>
    <mergeCell ref="CT50:CU50"/>
    <mergeCell ref="CV50:CW50"/>
    <mergeCell ref="CX50:CY50"/>
    <mergeCell ref="CZ50:DA50"/>
    <mergeCell ref="DE50:DF50"/>
    <mergeCell ref="DL50:DM50"/>
    <mergeCell ref="DN50:DO50"/>
    <mergeCell ref="DQ50:DR50"/>
    <mergeCell ref="EA50:EB50"/>
    <mergeCell ref="EF50:EG50"/>
    <mergeCell ref="EH50:EI50"/>
    <mergeCell ref="DB49:DC49"/>
    <mergeCell ref="EC49:ED49"/>
    <mergeCell ref="DI49:DJ49"/>
    <mergeCell ref="DS49:DT49"/>
    <mergeCell ref="EI45:EJ45"/>
    <mergeCell ref="DE48:DF48"/>
    <mergeCell ref="DI48:DJ48"/>
    <mergeCell ref="DL48:DM48"/>
    <mergeCell ref="DN48:DO48"/>
    <mergeCell ref="DU48:DV48"/>
    <mergeCell ref="EC48:ED48"/>
    <mergeCell ref="EF48:EG48"/>
    <mergeCell ref="EH48:EI48"/>
    <mergeCell ref="DW44:DX44"/>
    <mergeCell ref="DY44:DZ44"/>
    <mergeCell ref="EC44:ED44"/>
    <mergeCell ref="EG44:EH44"/>
    <mergeCell ref="DM43:DN43"/>
    <mergeCell ref="DR43:DS43"/>
    <mergeCell ref="EA43:EB43"/>
    <mergeCell ref="CM45:CN45"/>
    <mergeCell ref="CP45:CQ45"/>
    <mergeCell ref="CS45:CT45"/>
    <mergeCell ref="CW45:CX45"/>
    <mergeCell ref="CZ45:DA45"/>
    <mergeCell ref="DF45:DG45"/>
    <mergeCell ref="DM45:DN45"/>
    <mergeCell ref="DR45:DS45"/>
    <mergeCell ref="DU45:DV45"/>
    <mergeCell ref="DW45:DX45"/>
    <mergeCell ref="DY45:DZ45"/>
    <mergeCell ref="EA45:EB45"/>
    <mergeCell ref="EC45:ED45"/>
    <mergeCell ref="EG45:EH45"/>
    <mergeCell ref="AX29:AY29"/>
    <mergeCell ref="AX28:AY28"/>
    <mergeCell ref="AC35:AD35"/>
    <mergeCell ref="AC33:AD33"/>
    <mergeCell ref="BU35:BV35"/>
    <mergeCell ref="BU34:BV34"/>
    <mergeCell ref="BU33:BV33"/>
    <mergeCell ref="CM38:CN38"/>
    <mergeCell ref="CM39:CN39"/>
    <mergeCell ref="CF38:CG38"/>
    <mergeCell ref="BL39:BM39"/>
    <mergeCell ref="BL38:BM38"/>
    <mergeCell ref="BX38:BY38"/>
    <mergeCell ref="BO38:BP38"/>
    <mergeCell ref="BB35:BC35"/>
    <mergeCell ref="BR50:BS50"/>
    <mergeCell ref="BT50:BU50"/>
    <mergeCell ref="BV50:BW50"/>
    <mergeCell ref="BZ50:CA50"/>
    <mergeCell ref="CB50:CC50"/>
    <mergeCell ref="CD50:CE50"/>
    <mergeCell ref="CG50:CH50"/>
    <mergeCell ref="CI50:CJ50"/>
    <mergeCell ref="AX30:AY30"/>
    <mergeCell ref="AY45:AZ45"/>
    <mergeCell ref="BA45:BB45"/>
    <mergeCell ref="BC45:BD45"/>
    <mergeCell ref="BL45:BM45"/>
    <mergeCell ref="BN45:BO45"/>
    <mergeCell ref="BX45:BY45"/>
    <mergeCell ref="CA45:CB45"/>
    <mergeCell ref="CF45:CG45"/>
    <mergeCell ref="CH45:CI45"/>
    <mergeCell ref="CB48:CC48"/>
    <mergeCell ref="CD48:CE48"/>
    <mergeCell ref="BO39:BP39"/>
    <mergeCell ref="BO40:BP40"/>
    <mergeCell ref="BT48:BU48"/>
    <mergeCell ref="BZ48:CA48"/>
    <mergeCell ref="R50:S50"/>
    <mergeCell ref="T50:U50"/>
    <mergeCell ref="V50:W50"/>
    <mergeCell ref="Z50:AA50"/>
    <mergeCell ref="AG50:AH50"/>
    <mergeCell ref="AI50:AJ50"/>
    <mergeCell ref="AR50:AS50"/>
    <mergeCell ref="AT50:AU50"/>
    <mergeCell ref="AW50:AX50"/>
    <mergeCell ref="R49:S49"/>
    <mergeCell ref="T49:U49"/>
    <mergeCell ref="V49:W49"/>
    <mergeCell ref="Z49:AA49"/>
    <mergeCell ref="AT49:AU49"/>
    <mergeCell ref="BP49:BQ49"/>
    <mergeCell ref="BR49:BS49"/>
    <mergeCell ref="BT49:BU49"/>
    <mergeCell ref="BZ49:CA49"/>
    <mergeCell ref="AG49:AH49"/>
    <mergeCell ref="AI49:AJ49"/>
    <mergeCell ref="AR49:AS49"/>
    <mergeCell ref="BF49:BG49"/>
    <mergeCell ref="AW49:AX49"/>
    <mergeCell ref="BB49:BC49"/>
    <mergeCell ref="BD49:BE49"/>
    <mergeCell ref="R48:S48"/>
    <mergeCell ref="T48:U48"/>
    <mergeCell ref="V48:W48"/>
    <mergeCell ref="Z48:AA48"/>
    <mergeCell ref="AT48:AU48"/>
    <mergeCell ref="BP48:BQ48"/>
    <mergeCell ref="BR48:BS48"/>
    <mergeCell ref="BP45:BQ45"/>
    <mergeCell ref="V44:W44"/>
    <mergeCell ref="Z44:AA44"/>
    <mergeCell ref="AW44:AX44"/>
    <mergeCell ref="AG48:AH48"/>
    <mergeCell ref="AI48:AJ48"/>
    <mergeCell ref="AR48:AS48"/>
    <mergeCell ref="S43:T43"/>
    <mergeCell ref="X43:Y43"/>
    <mergeCell ref="AD43:AE43"/>
    <mergeCell ref="AH43:AI43"/>
    <mergeCell ref="AK43:AL43"/>
    <mergeCell ref="AM43:AN43"/>
    <mergeCell ref="AQ43:AR43"/>
    <mergeCell ref="AS43:AT43"/>
    <mergeCell ref="AU43:AV43"/>
    <mergeCell ref="BI38:BJ38"/>
    <mergeCell ref="BF38:BG38"/>
    <mergeCell ref="AB38:AC38"/>
    <mergeCell ref="AH38:AI38"/>
    <mergeCell ref="AY43:AZ43"/>
    <mergeCell ref="BC43:BD43"/>
    <mergeCell ref="BN43:BO43"/>
    <mergeCell ref="CA43:CB43"/>
    <mergeCell ref="CF43:CG43"/>
    <mergeCell ref="AE40:AF40"/>
    <mergeCell ref="AL40:AM40"/>
    <mergeCell ref="AP40:AQ40"/>
    <mergeCell ref="AT40:AU40"/>
    <mergeCell ref="AX40:AY40"/>
    <mergeCell ref="BB40:BC40"/>
    <mergeCell ref="BI40:BJ40"/>
    <mergeCell ref="AE39:AF39"/>
    <mergeCell ref="AL39:AM39"/>
    <mergeCell ref="AP39:AQ39"/>
    <mergeCell ref="AT39:AU39"/>
    <mergeCell ref="AX39:AY39"/>
    <mergeCell ref="BB39:BC39"/>
    <mergeCell ref="BI39:BJ39"/>
    <mergeCell ref="AB39:AC39"/>
    <mergeCell ref="AU45:AV45"/>
    <mergeCell ref="BF45:BG45"/>
    <mergeCell ref="U38:V38"/>
    <mergeCell ref="Y38:Z38"/>
    <mergeCell ref="AE38:AF38"/>
    <mergeCell ref="AL38:AM38"/>
    <mergeCell ref="AP38:AQ38"/>
    <mergeCell ref="AT38:AU38"/>
    <mergeCell ref="AX38:AY38"/>
    <mergeCell ref="BB38:BC38"/>
    <mergeCell ref="X44:Y44"/>
    <mergeCell ref="AD44:AE44"/>
    <mergeCell ref="U40:V40"/>
    <mergeCell ref="Y40:Z40"/>
    <mergeCell ref="U39:V39"/>
    <mergeCell ref="Y39:Z39"/>
    <mergeCell ref="AH39:AI39"/>
    <mergeCell ref="BF39:BG39"/>
    <mergeCell ref="S45:T45"/>
    <mergeCell ref="X45:Y45"/>
    <mergeCell ref="AB45:AC45"/>
    <mergeCell ref="AD45:AE45"/>
    <mergeCell ref="AF45:AG45"/>
    <mergeCell ref="AH45:AI45"/>
    <mergeCell ref="AK45:AL45"/>
    <mergeCell ref="AM45:AN45"/>
    <mergeCell ref="AO45:AP45"/>
    <mergeCell ref="S44:T44"/>
    <mergeCell ref="AH44:AI44"/>
    <mergeCell ref="AK44:AL44"/>
    <mergeCell ref="AM44:AN44"/>
    <mergeCell ref="AQ44:AR44"/>
    <mergeCell ref="AS44:AT44"/>
    <mergeCell ref="AU44:AV44"/>
    <mergeCell ref="AY44:AZ44"/>
    <mergeCell ref="BC44:BD44"/>
    <mergeCell ref="CI48:CJ48"/>
    <mergeCell ref="BX40:BY40"/>
    <mergeCell ref="CF40:CG40"/>
    <mergeCell ref="V43:W43"/>
    <mergeCell ref="Z43:AA43"/>
    <mergeCell ref="AW43:AX43"/>
    <mergeCell ref="BT43:BU43"/>
    <mergeCell ref="CD43:CE43"/>
    <mergeCell ref="BF40:BG40"/>
    <mergeCell ref="BL40:BM40"/>
    <mergeCell ref="AB40:AC40"/>
    <mergeCell ref="AH40:AI40"/>
    <mergeCell ref="BT44:BU44"/>
    <mergeCell ref="BN44:BO44"/>
    <mergeCell ref="BF44:BG44"/>
    <mergeCell ref="BL44:BM44"/>
    <mergeCell ref="BP44:BQ44"/>
    <mergeCell ref="BT45:BU45"/>
    <mergeCell ref="CD45:CE45"/>
    <mergeCell ref="V45:W45"/>
    <mergeCell ref="Z45:AA45"/>
    <mergeCell ref="AW45:AX45"/>
    <mergeCell ref="AQ45:AR45"/>
    <mergeCell ref="AS45:AT45"/>
    <mergeCell ref="J23:K23"/>
    <mergeCell ref="D48:E48"/>
    <mergeCell ref="D49:E49"/>
    <mergeCell ref="D50:E50"/>
    <mergeCell ref="H48:I48"/>
    <mergeCell ref="H49:I49"/>
    <mergeCell ref="H50:I50"/>
    <mergeCell ref="DC30:DD30"/>
    <mergeCell ref="AX33:AY33"/>
    <mergeCell ref="DC28:DD28"/>
    <mergeCell ref="H33:I33"/>
    <mergeCell ref="H34:I34"/>
    <mergeCell ref="CM42:CN42"/>
    <mergeCell ref="CM40:CN40"/>
    <mergeCell ref="CM41:CN41"/>
    <mergeCell ref="CH43:CI43"/>
    <mergeCell ref="CM43:CN43"/>
    <mergeCell ref="CP43:CQ43"/>
    <mergeCell ref="CS43:CT43"/>
    <mergeCell ref="CW43:CX43"/>
    <mergeCell ref="CZ48:DA48"/>
    <mergeCell ref="DB48:DC48"/>
    <mergeCell ref="BV48:BW48"/>
    <mergeCell ref="CG48:CH48"/>
    <mergeCell ref="FB23:FC23"/>
    <mergeCell ref="FB25:FC25"/>
    <mergeCell ref="EK23:EL23"/>
    <mergeCell ref="EK25:EL25"/>
    <mergeCell ref="BQ23:BR23"/>
    <mergeCell ref="BQ24:BR24"/>
    <mergeCell ref="BQ25:BR25"/>
    <mergeCell ref="J10:K10"/>
    <mergeCell ref="J11:K11"/>
    <mergeCell ref="J12:K12"/>
    <mergeCell ref="J14:K14"/>
    <mergeCell ref="J15:K15"/>
    <mergeCell ref="J16:K16"/>
    <mergeCell ref="J18:K18"/>
    <mergeCell ref="J19:K19"/>
    <mergeCell ref="J20:K20"/>
    <mergeCell ref="DE12:DF12"/>
    <mergeCell ref="DE10:DF10"/>
    <mergeCell ref="DE16:DF16"/>
    <mergeCell ref="DE14:DF14"/>
    <mergeCell ref="DE20:DF20"/>
    <mergeCell ref="DE19:DF19"/>
    <mergeCell ref="DE18:DF18"/>
    <mergeCell ref="J22:K22"/>
    <mergeCell ref="M27:N27"/>
    <mergeCell ref="G28:H28"/>
    <mergeCell ref="M28:N28"/>
    <mergeCell ref="G29:H29"/>
    <mergeCell ref="M29:N29"/>
    <mergeCell ref="J24:K24"/>
    <mergeCell ref="CF39:CG39"/>
    <mergeCell ref="D45:E45"/>
    <mergeCell ref="D35:E35"/>
    <mergeCell ref="M33:N33"/>
    <mergeCell ref="BX39:BY39"/>
    <mergeCell ref="BX43:BY43"/>
    <mergeCell ref="AB43:AC43"/>
    <mergeCell ref="AF43:AG43"/>
    <mergeCell ref="AO43:AP43"/>
    <mergeCell ref="BA43:BB43"/>
    <mergeCell ref="BF43:BG43"/>
    <mergeCell ref="BL43:BM43"/>
    <mergeCell ref="BP43:BQ43"/>
    <mergeCell ref="AB44:AC44"/>
    <mergeCell ref="AF44:AG44"/>
    <mergeCell ref="AO44:AP44"/>
    <mergeCell ref="BA44:BB44"/>
    <mergeCell ref="AX35:AY35"/>
    <mergeCell ref="A42:B46"/>
    <mergeCell ref="H45:I45"/>
    <mergeCell ref="A10:B13"/>
    <mergeCell ref="A14:B17"/>
    <mergeCell ref="A18:B21"/>
    <mergeCell ref="D43:E43"/>
    <mergeCell ref="H43:I43"/>
    <mergeCell ref="D44:E44"/>
    <mergeCell ref="H44:I44"/>
    <mergeCell ref="D39:E39"/>
    <mergeCell ref="H39:I39"/>
    <mergeCell ref="D40:E40"/>
    <mergeCell ref="H40:I40"/>
    <mergeCell ref="H35:I35"/>
    <mergeCell ref="D38:E38"/>
    <mergeCell ref="H38:I38"/>
    <mergeCell ref="D33:E33"/>
    <mergeCell ref="G27:H27"/>
    <mergeCell ref="EI43:EJ43"/>
    <mergeCell ref="BX44:BY44"/>
    <mergeCell ref="CH44:CI44"/>
    <mergeCell ref="CM44:CN44"/>
    <mergeCell ref="DM44:DN44"/>
    <mergeCell ref="DR44:DS44"/>
    <mergeCell ref="EA44:EB44"/>
    <mergeCell ref="CD44:CE44"/>
    <mergeCell ref="CA44:CB44"/>
    <mergeCell ref="CF44:CG44"/>
    <mergeCell ref="CZ43:DA43"/>
    <mergeCell ref="DF43:DG43"/>
    <mergeCell ref="EI44:EJ44"/>
    <mergeCell ref="DU43:DV43"/>
    <mergeCell ref="DW43:DX43"/>
    <mergeCell ref="DY43:DZ43"/>
    <mergeCell ref="EC43:ED43"/>
    <mergeCell ref="EG43:EH43"/>
    <mergeCell ref="CP44:CQ44"/>
    <mergeCell ref="CS44:CT44"/>
    <mergeCell ref="CW44:CX44"/>
    <mergeCell ref="CZ44:DA44"/>
    <mergeCell ref="DF44:DG44"/>
    <mergeCell ref="DU44:DV44"/>
    <mergeCell ref="CP48:CQ48"/>
    <mergeCell ref="CR48:CS48"/>
    <mergeCell ref="CT48:CU48"/>
    <mergeCell ref="CV48:CW48"/>
    <mergeCell ref="CX48:CY48"/>
    <mergeCell ref="EA48:EB48"/>
    <mergeCell ref="DQ48:DR48"/>
    <mergeCell ref="DS48:DT48"/>
    <mergeCell ref="DW48:DX48"/>
    <mergeCell ref="CG49:CH49"/>
    <mergeCell ref="CI49:CJ49"/>
    <mergeCell ref="BV49:BW49"/>
    <mergeCell ref="CB49:CC49"/>
    <mergeCell ref="CD49:CE49"/>
    <mergeCell ref="CT49:CU49"/>
    <mergeCell ref="CV49:CW49"/>
    <mergeCell ref="CX49:CY49"/>
    <mergeCell ref="CZ49:DA49"/>
    <mergeCell ref="CP49:CQ49"/>
    <mergeCell ref="CR49:CS49"/>
    <mergeCell ref="DW49:DX49"/>
    <mergeCell ref="EA49:EB49"/>
    <mergeCell ref="DU50:DV50"/>
    <mergeCell ref="DW50:DX50"/>
    <mergeCell ref="EC50:ED50"/>
    <mergeCell ref="DB50:DC50"/>
    <mergeCell ref="DI50:DJ50"/>
    <mergeCell ref="DS50:DT50"/>
    <mergeCell ref="DU49:DV49"/>
    <mergeCell ref="DE49:DF49"/>
    <mergeCell ref="DL49:DM49"/>
    <mergeCell ref="DN49:DO49"/>
    <mergeCell ref="FL53:FM53"/>
    <mergeCell ref="FN53:FO53"/>
    <mergeCell ref="FL54:FM54"/>
    <mergeCell ref="FN54:FO54"/>
    <mergeCell ref="EL49:EM49"/>
    <mergeCell ref="EN49:EO49"/>
    <mergeCell ref="EL50:EM50"/>
    <mergeCell ref="EN50:EO50"/>
    <mergeCell ref="FM50:FN50"/>
    <mergeCell ref="FM49:FN49"/>
    <mergeCell ref="FF33:FG33"/>
    <mergeCell ref="FF34:FG34"/>
    <mergeCell ref="FF39:FG39"/>
    <mergeCell ref="FJ39:FK39"/>
    <mergeCell ref="FE44:FF44"/>
    <mergeCell ref="FG44:FH44"/>
    <mergeCell ref="FE43:FF43"/>
    <mergeCell ref="FJ40:FK40"/>
    <mergeCell ref="EM38:EN38"/>
    <mergeCell ref="EQ38:ER38"/>
    <mergeCell ref="EU38:EV38"/>
    <mergeCell ref="EX38:EY38"/>
    <mergeCell ref="FB38:FC38"/>
    <mergeCell ref="FF38:FG38"/>
    <mergeCell ref="FJ38:FK38"/>
    <mergeCell ref="FO38:FP38"/>
    <mergeCell ref="FO39:FP39"/>
    <mergeCell ref="EQ43:ER43"/>
    <mergeCell ref="EM39:EN39"/>
    <mergeCell ref="EQ39:ER39"/>
    <mergeCell ref="EU39:EV39"/>
    <mergeCell ref="EX39:EY39"/>
    <mergeCell ref="FB39:FC39"/>
    <mergeCell ref="FO40:FP40"/>
    <mergeCell ref="FQ44:FR44"/>
    <mergeCell ref="EL48:EM48"/>
    <mergeCell ref="EN48:EO48"/>
    <mergeCell ref="FM48:FN48"/>
    <mergeCell ref="EN43:EO43"/>
    <mergeCell ref="EQ44:ER44"/>
    <mergeCell ref="FG43:FH43"/>
    <mergeCell ref="FM43:FN43"/>
    <mergeCell ref="FQ43:FR43"/>
    <mergeCell ref="FM44:FN44"/>
    <mergeCell ref="EL44:EM44"/>
    <mergeCell ref="EN44:EO44"/>
    <mergeCell ref="EL43:EM43"/>
    <mergeCell ref="EQ45:ER45"/>
    <mergeCell ref="EL45:EM45"/>
    <mergeCell ref="EN45:EO45"/>
    <mergeCell ref="FE45:FF45"/>
    <mergeCell ref="FG45:FH45"/>
    <mergeCell ref="FM45:FN45"/>
    <mergeCell ref="FQ45:FR45"/>
    <mergeCell ref="M50:N50"/>
    <mergeCell ref="M49:N49"/>
    <mergeCell ref="A47:B51"/>
    <mergeCell ref="A22:B26"/>
    <mergeCell ref="A32:B36"/>
    <mergeCell ref="FB30:FC30"/>
    <mergeCell ref="FB28:FC28"/>
    <mergeCell ref="M48:N48"/>
    <mergeCell ref="M45:N45"/>
    <mergeCell ref="M44:N44"/>
    <mergeCell ref="M43:N43"/>
    <mergeCell ref="M40:N40"/>
    <mergeCell ref="M39:N39"/>
    <mergeCell ref="M38:N38"/>
    <mergeCell ref="M35:N35"/>
    <mergeCell ref="BB50:BC50"/>
    <mergeCell ref="BD50:BE50"/>
    <mergeCell ref="BF50:BG50"/>
    <mergeCell ref="BP50:BQ50"/>
    <mergeCell ref="BB48:BC48"/>
    <mergeCell ref="BD48:BE48"/>
    <mergeCell ref="BF48:BG48"/>
    <mergeCell ref="AW48:AX48"/>
    <mergeCell ref="DQ49:DR49"/>
  </mergeCells>
  <phoneticPr fontId="7"/>
  <pageMargins left="0.23622047244094491" right="0.23622047244094491" top="0.74803149606299213" bottom="0.74803149606299213" header="0.31496062992125984" footer="0.31496062992125984"/>
  <pageSetup paperSize="8" scale="60" orientation="landscape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FV85"/>
  <sheetViews>
    <sheetView showGridLines="0" tabSelected="1" view="pageBreakPreview" zoomScale="60" zoomScaleNormal="65" zoomScalePageLayoutView="70" workbookViewId="0">
      <selection activeCell="W25" sqref="W25"/>
    </sheetView>
  </sheetViews>
  <sheetFormatPr defaultColWidth="3.77734375" defaultRowHeight="22.05" customHeight="1"/>
  <cols>
    <col min="1" max="1" width="3.77734375" style="7" customWidth="1"/>
    <col min="2" max="2" width="3.77734375" style="7"/>
    <col min="3" max="5" width="3.77734375" style="3"/>
    <col min="6" max="6" width="3.77734375" style="3" customWidth="1"/>
    <col min="7" max="7" width="2.77734375" style="7" customWidth="1"/>
    <col min="8" max="8" width="3.77734375" style="7"/>
    <col min="9" max="9" width="5.44140625" style="7" bestFit="1" customWidth="1"/>
    <col min="10" max="10" width="3.77734375" style="3" customWidth="1"/>
    <col min="11" max="11" width="3.77734375" style="3"/>
    <col min="12" max="12" width="3.77734375" style="3" customWidth="1"/>
    <col min="13" max="13" width="2.77734375" style="3" customWidth="1"/>
    <col min="14" max="14" width="3.77734375" style="3"/>
    <col min="15" max="16" width="3.77734375" style="7" customWidth="1"/>
    <col min="17" max="29" width="3.77734375" style="7"/>
    <col min="30" max="30" width="3.88671875" style="7" bestFit="1" customWidth="1"/>
    <col min="31" max="31" width="5.44140625" style="7" bestFit="1" customWidth="1"/>
    <col min="32" max="32" width="3.77734375" style="7" customWidth="1"/>
    <col min="36" max="36" width="3.77734375" customWidth="1"/>
    <col min="39" max="39" width="3.77734375" customWidth="1"/>
    <col min="51" max="51" width="3.88671875" bestFit="1" customWidth="1"/>
    <col min="52" max="52" width="5.44140625" bestFit="1" customWidth="1"/>
    <col min="63" max="63" width="5.44140625" bestFit="1" customWidth="1"/>
    <col min="66" max="66" width="5.44140625" bestFit="1" customWidth="1"/>
    <col min="69" max="69" width="5.44140625" bestFit="1" customWidth="1"/>
    <col min="70" max="70" width="3.88671875" bestFit="1" customWidth="1"/>
    <col min="71" max="105" width="3.77734375" customWidth="1"/>
    <col min="108" max="109" width="3.77734375" customWidth="1"/>
    <col min="111" max="111" width="5.44140625" bestFit="1" customWidth="1"/>
    <col min="118" max="119" width="3.77734375" customWidth="1"/>
    <col min="128" max="131" width="3.77734375" customWidth="1"/>
    <col min="139" max="141" width="3.77734375" customWidth="1"/>
    <col min="145" max="145" width="3.77734375" style="89" customWidth="1"/>
    <col min="149" max="149" width="3.77734375" style="89" customWidth="1"/>
    <col min="156" max="156" width="3.77734375" customWidth="1"/>
    <col min="160" max="160" width="3.77734375" customWidth="1"/>
    <col min="176" max="177" width="3.77734375" style="7"/>
    <col min="178" max="178" width="3.77734375" style="3"/>
  </cols>
  <sheetData>
    <row r="5" spans="1:178" ht="22.05" customHeight="1">
      <c r="C5" s="69"/>
      <c r="F5" s="7"/>
      <c r="I5" s="3"/>
      <c r="N5" s="7"/>
      <c r="BO5" s="84" t="s">
        <v>343</v>
      </c>
      <c r="BP5" s="84" t="s">
        <v>345</v>
      </c>
      <c r="CN5" s="84"/>
      <c r="CO5" s="84"/>
      <c r="CV5" s="84"/>
      <c r="CW5" s="84"/>
      <c r="CX5" s="84" t="s">
        <v>343</v>
      </c>
      <c r="CY5" s="84" t="s">
        <v>345</v>
      </c>
      <c r="FV5" s="69"/>
    </row>
    <row r="6" spans="1:178" ht="10.050000000000001" customHeight="1">
      <c r="C6" s="69"/>
      <c r="F6" s="7"/>
      <c r="I6" s="3"/>
      <c r="N6" s="7"/>
      <c r="BO6" s="7"/>
      <c r="CN6" s="7"/>
      <c r="CV6" s="7"/>
      <c r="CX6" s="7"/>
      <c r="FV6" s="69"/>
    </row>
    <row r="7" spans="1:178" ht="22.05" customHeight="1">
      <c r="C7" s="69"/>
      <c r="F7" s="7"/>
      <c r="I7" s="3"/>
      <c r="J7" s="62" t="s">
        <v>351</v>
      </c>
      <c r="K7" s="62"/>
      <c r="N7" s="7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100" t="s">
        <v>344</v>
      </c>
      <c r="BP7" s="100" t="s">
        <v>346</v>
      </c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  <c r="CB7" s="82"/>
      <c r="CC7" s="82"/>
      <c r="CD7" s="62" t="s">
        <v>352</v>
      </c>
      <c r="CE7" s="62"/>
      <c r="CF7" s="3"/>
      <c r="CI7" s="82"/>
      <c r="CJ7" s="82"/>
      <c r="CK7" s="82"/>
      <c r="CL7" s="82"/>
      <c r="CM7" s="82"/>
      <c r="CN7" s="100"/>
      <c r="CO7" s="100"/>
      <c r="CP7" s="82"/>
      <c r="CQ7" s="82"/>
      <c r="CR7" s="82"/>
      <c r="CS7" s="82"/>
      <c r="CT7" s="82"/>
      <c r="CU7" s="82"/>
      <c r="CV7" s="100"/>
      <c r="CW7" s="100"/>
      <c r="CX7" s="100" t="s">
        <v>344</v>
      </c>
      <c r="CY7" s="100" t="s">
        <v>346</v>
      </c>
      <c r="DD7" s="62" t="s">
        <v>352</v>
      </c>
      <c r="DE7" s="62"/>
      <c r="DF7" s="3"/>
      <c r="FV7" s="69"/>
    </row>
    <row r="8" spans="1:178" ht="22.05" customHeight="1">
      <c r="C8" s="69"/>
      <c r="F8" s="7"/>
      <c r="I8" s="3"/>
      <c r="K8" s="16"/>
      <c r="L8" s="16"/>
      <c r="M8" s="16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0"/>
      <c r="BP8" s="55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H8" s="82"/>
      <c r="CI8" s="82"/>
      <c r="CJ8" s="82"/>
      <c r="CK8" s="82"/>
      <c r="CL8" s="66"/>
      <c r="CM8" s="66"/>
      <c r="CN8" s="55"/>
      <c r="CO8" s="55"/>
      <c r="CP8" s="66"/>
      <c r="CQ8" s="66"/>
      <c r="CR8" s="66"/>
      <c r="CS8" s="66"/>
      <c r="CT8" s="66"/>
      <c r="CU8" s="66"/>
      <c r="CV8" s="55"/>
      <c r="CW8" s="55"/>
      <c r="CX8" s="60"/>
      <c r="CY8" s="55"/>
      <c r="CZ8" s="66"/>
      <c r="DA8" s="66"/>
      <c r="DB8" s="66"/>
      <c r="DC8" s="66"/>
      <c r="DD8" s="66"/>
      <c r="DE8" s="66"/>
      <c r="FV8" s="69"/>
    </row>
    <row r="9" spans="1:178" ht="22.05" customHeight="1">
      <c r="C9" s="69"/>
      <c r="F9" s="7"/>
      <c r="G9" s="9"/>
      <c r="H9" s="9"/>
      <c r="I9" s="3"/>
      <c r="J9" s="58"/>
      <c r="K9" s="67">
        <v>2</v>
      </c>
      <c r="N9" s="7"/>
      <c r="P9" s="9"/>
      <c r="CE9" s="58"/>
      <c r="CF9" s="67">
        <v>1</v>
      </c>
      <c r="DE9" s="58"/>
      <c r="DF9" s="67">
        <v>1</v>
      </c>
      <c r="FV9" s="69"/>
    </row>
    <row r="10" spans="1:178" ht="22.05" customHeight="1">
      <c r="A10" s="117" t="s">
        <v>325</v>
      </c>
      <c r="B10" s="117"/>
      <c r="C10" s="69"/>
      <c r="E10" s="9"/>
      <c r="F10" s="9"/>
      <c r="G10" s="9"/>
      <c r="H10" s="9"/>
      <c r="I10" s="3"/>
      <c r="J10" s="116" t="s">
        <v>312</v>
      </c>
      <c r="K10" s="116"/>
      <c r="L10" s="67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T10" s="67"/>
      <c r="BU10" s="62"/>
      <c r="CE10" s="120" t="s">
        <v>341</v>
      </c>
      <c r="CF10" s="120"/>
      <c r="CG10" s="67"/>
      <c r="DE10" s="120" t="s">
        <v>341</v>
      </c>
      <c r="DF10" s="120"/>
      <c r="DG10" s="67"/>
      <c r="FT10" s="117" t="s">
        <v>325</v>
      </c>
      <c r="FU10" s="117"/>
      <c r="FV10" s="69"/>
    </row>
    <row r="11" spans="1:178" ht="22.05" customHeight="1">
      <c r="A11" s="117"/>
      <c r="B11" s="117"/>
      <c r="C11" s="5"/>
      <c r="E11" s="9"/>
      <c r="F11" s="9"/>
      <c r="G11" s="9"/>
      <c r="H11" s="9"/>
      <c r="I11" s="3"/>
      <c r="J11" s="116"/>
      <c r="K11" s="116"/>
      <c r="L11" s="54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BU11" s="62"/>
      <c r="CE11" s="62"/>
      <c r="CF11" s="63"/>
      <c r="DE11" s="62"/>
      <c r="DF11" s="63"/>
      <c r="FT11" s="117"/>
      <c r="FU11" s="117"/>
      <c r="FV11" s="5"/>
    </row>
    <row r="12" spans="1:178" ht="22.05" customHeight="1">
      <c r="A12" s="117"/>
      <c r="B12" s="117"/>
      <c r="C12" s="5"/>
      <c r="E12" s="9"/>
      <c r="F12" s="9"/>
      <c r="G12" s="9"/>
      <c r="H12" s="9"/>
      <c r="I12" s="9"/>
      <c r="J12" s="116" t="s">
        <v>111</v>
      </c>
      <c r="K12" s="116"/>
      <c r="L12" s="54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BU12" s="62"/>
      <c r="CE12" s="120" t="s">
        <v>342</v>
      </c>
      <c r="CF12" s="120"/>
      <c r="DE12" s="120" t="s">
        <v>342</v>
      </c>
      <c r="DF12" s="120"/>
      <c r="FT12" s="117"/>
      <c r="FU12" s="117"/>
      <c r="FV12" s="5"/>
    </row>
    <row r="13" spans="1:178" ht="22.05" customHeight="1">
      <c r="A13" s="117"/>
      <c r="B13" s="117"/>
      <c r="C13" s="5"/>
      <c r="E13" s="9"/>
      <c r="F13" s="9"/>
      <c r="G13" s="9"/>
      <c r="H13" s="9"/>
      <c r="I13" s="9"/>
      <c r="J13" s="5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CE13" s="58"/>
      <c r="CF13" s="9"/>
      <c r="DE13" s="58"/>
      <c r="DF13" s="9"/>
      <c r="FT13" s="117"/>
      <c r="FU13" s="117"/>
      <c r="FV13" s="5"/>
    </row>
    <row r="14" spans="1:178" ht="22.05" customHeight="1">
      <c r="A14" s="117" t="s">
        <v>326</v>
      </c>
      <c r="B14" s="117"/>
      <c r="E14" s="9"/>
      <c r="F14" s="9"/>
      <c r="G14" s="9"/>
      <c r="H14" s="9"/>
      <c r="I14" s="9"/>
      <c r="J14" s="116" t="s">
        <v>312</v>
      </c>
      <c r="K14" s="11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BU14" s="63"/>
      <c r="CD14" s="62"/>
      <c r="CE14" s="116" t="s">
        <v>312</v>
      </c>
      <c r="CF14" s="116"/>
      <c r="CG14" s="54">
        <v>1749</v>
      </c>
      <c r="DD14" s="62"/>
      <c r="DE14" s="116" t="s">
        <v>312</v>
      </c>
      <c r="DF14" s="116"/>
      <c r="DG14" s="54">
        <v>1749</v>
      </c>
      <c r="FT14" s="117" t="s">
        <v>326</v>
      </c>
      <c r="FU14" s="117"/>
    </row>
    <row r="15" spans="1:178" ht="22.05" customHeight="1">
      <c r="A15" s="117"/>
      <c r="B15" s="117"/>
      <c r="E15" s="9"/>
      <c r="F15" s="9"/>
      <c r="G15" s="9"/>
      <c r="H15" s="9"/>
      <c r="I15" s="9"/>
      <c r="J15" s="116"/>
      <c r="K15" s="116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BU15" s="63"/>
      <c r="CD15" s="62"/>
      <c r="CE15" s="62"/>
      <c r="CF15" s="62"/>
      <c r="CG15" s="54" t="s">
        <v>4</v>
      </c>
      <c r="DD15" s="62"/>
      <c r="DE15" s="62"/>
      <c r="DF15" s="62"/>
      <c r="DG15" s="54" t="s">
        <v>4</v>
      </c>
      <c r="FT15" s="117"/>
      <c r="FU15" s="117"/>
    </row>
    <row r="16" spans="1:178" ht="22.05" customHeight="1">
      <c r="A16" s="117"/>
      <c r="B16" s="117"/>
      <c r="E16" s="9"/>
      <c r="F16" s="9"/>
      <c r="G16" s="9"/>
      <c r="H16" s="9"/>
      <c r="I16" s="9"/>
      <c r="J16" s="116" t="s">
        <v>313</v>
      </c>
      <c r="K16" s="116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BU16" s="63"/>
      <c r="CD16" s="62"/>
      <c r="CE16" s="116" t="s">
        <v>334</v>
      </c>
      <c r="CF16" s="116"/>
      <c r="CG16" s="54">
        <v>1799</v>
      </c>
      <c r="DD16" s="62"/>
      <c r="DE16" s="116" t="s">
        <v>334</v>
      </c>
      <c r="DF16" s="116"/>
      <c r="DG16" s="54">
        <v>1799</v>
      </c>
      <c r="FT16" s="117"/>
      <c r="FU16" s="117"/>
    </row>
    <row r="17" spans="1:178" ht="22.05" customHeight="1">
      <c r="A17" s="117"/>
      <c r="B17" s="117"/>
      <c r="E17" s="9"/>
      <c r="F17" s="9"/>
      <c r="G17" s="9"/>
      <c r="H17" s="9"/>
      <c r="I17" s="9"/>
      <c r="J17" s="58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CD17" s="9"/>
      <c r="CE17" s="58"/>
      <c r="CF17" s="9"/>
      <c r="DD17" s="9"/>
      <c r="DE17" s="58"/>
      <c r="DF17" s="9"/>
      <c r="FT17" s="117"/>
      <c r="FU17" s="117"/>
    </row>
    <row r="18" spans="1:178" ht="22.05" customHeight="1">
      <c r="A18" s="117" t="s">
        <v>327</v>
      </c>
      <c r="B18" s="117"/>
      <c r="E18" s="9"/>
      <c r="F18" s="9"/>
      <c r="G18" s="9"/>
      <c r="H18" s="9"/>
      <c r="I18" s="9"/>
      <c r="J18" s="116" t="s">
        <v>312</v>
      </c>
      <c r="K18" s="116"/>
      <c r="L18" s="54">
        <v>1796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BU18" s="62"/>
      <c r="CD18" s="62"/>
      <c r="CE18" s="116" t="s">
        <v>312</v>
      </c>
      <c r="CF18" s="116"/>
      <c r="CG18" s="54">
        <v>1776</v>
      </c>
      <c r="DD18" s="62"/>
      <c r="DE18" s="116" t="s">
        <v>312</v>
      </c>
      <c r="DF18" s="116"/>
      <c r="DG18" s="54">
        <v>1776</v>
      </c>
      <c r="FT18" s="117" t="s">
        <v>327</v>
      </c>
      <c r="FU18" s="117"/>
    </row>
    <row r="19" spans="1:178" ht="22.05" customHeight="1">
      <c r="A19" s="117"/>
      <c r="B19" s="117"/>
      <c r="C19" s="9"/>
      <c r="E19" s="9"/>
      <c r="F19" s="9"/>
      <c r="G19" s="9"/>
      <c r="H19" s="9"/>
      <c r="I19" s="9"/>
      <c r="J19" s="116"/>
      <c r="K19" s="116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BU19" s="62"/>
      <c r="CD19" s="62"/>
      <c r="CE19" s="116" t="s">
        <v>335</v>
      </c>
      <c r="CF19" s="116"/>
      <c r="CG19" s="54" t="s">
        <v>4</v>
      </c>
      <c r="DD19" s="62"/>
      <c r="DE19" s="116" t="s">
        <v>335</v>
      </c>
      <c r="DF19" s="116"/>
      <c r="DG19" s="54" t="s">
        <v>4</v>
      </c>
      <c r="FT19" s="117"/>
      <c r="FU19" s="117"/>
      <c r="FV19" s="9"/>
    </row>
    <row r="20" spans="1:178" ht="22.05" customHeight="1">
      <c r="A20" s="117"/>
      <c r="B20" s="117"/>
      <c r="C20" s="9"/>
      <c r="D20" s="5"/>
      <c r="E20" s="9"/>
      <c r="F20" s="9"/>
      <c r="G20" s="9"/>
      <c r="H20" s="9"/>
      <c r="I20" s="9"/>
      <c r="J20" s="116" t="s">
        <v>12</v>
      </c>
      <c r="K20" s="116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BQ20" s="62" t="s">
        <v>353</v>
      </c>
      <c r="BR20" s="85" t="s">
        <v>354</v>
      </c>
      <c r="BS20" s="83" t="s">
        <v>355</v>
      </c>
      <c r="BU20" s="62"/>
      <c r="CD20" s="62"/>
      <c r="CE20" s="116" t="s">
        <v>337</v>
      </c>
      <c r="CF20" s="116"/>
      <c r="CG20" s="54">
        <v>1829</v>
      </c>
      <c r="CI20" s="82"/>
      <c r="CJ20" s="82"/>
      <c r="CK20" s="82"/>
      <c r="CL20" s="62" t="s">
        <v>353</v>
      </c>
      <c r="CM20" s="85" t="s">
        <v>354</v>
      </c>
      <c r="CN20" s="83" t="s">
        <v>355</v>
      </c>
      <c r="CY20" s="82"/>
      <c r="CZ20" s="82"/>
      <c r="DA20" s="82"/>
      <c r="DB20" s="82"/>
      <c r="DD20" s="62"/>
      <c r="DE20" s="116" t="s">
        <v>337</v>
      </c>
      <c r="DF20" s="116"/>
      <c r="DG20" s="54">
        <v>1829</v>
      </c>
      <c r="DH20" s="82"/>
      <c r="DI20" s="82"/>
      <c r="DJ20" s="82"/>
      <c r="DK20" s="82"/>
      <c r="DL20" s="82"/>
      <c r="DM20" s="82"/>
      <c r="DN20" s="82"/>
      <c r="DO20" s="82"/>
      <c r="DP20" s="82"/>
      <c r="DQ20" s="82"/>
      <c r="DR20" s="82"/>
      <c r="DS20" s="82"/>
      <c r="DT20" s="82"/>
      <c r="DU20" s="82"/>
      <c r="DV20" s="82"/>
      <c r="DW20" s="82"/>
      <c r="DX20" s="82"/>
      <c r="DY20" s="82"/>
      <c r="DZ20" s="82"/>
      <c r="EA20" s="82"/>
      <c r="EB20" s="82"/>
      <c r="EC20" s="82"/>
      <c r="ED20" s="82"/>
      <c r="EE20" s="82"/>
      <c r="EF20" s="82"/>
      <c r="EG20" s="82"/>
      <c r="EH20" s="82"/>
      <c r="EI20" s="82"/>
      <c r="EJ20" s="82"/>
      <c r="EK20" s="82"/>
      <c r="EL20" s="82"/>
      <c r="EM20" s="82"/>
      <c r="EN20" s="82"/>
      <c r="EO20" s="90"/>
      <c r="EP20" s="82"/>
      <c r="EQ20" s="82"/>
      <c r="ER20" s="82"/>
      <c r="ES20" s="90"/>
      <c r="ET20" s="82"/>
      <c r="EU20" s="82"/>
      <c r="EV20" s="82"/>
      <c r="EW20" s="82"/>
      <c r="EX20" s="82"/>
      <c r="EY20" s="82"/>
      <c r="EZ20" s="82"/>
      <c r="FB20" s="62" t="s">
        <v>352</v>
      </c>
      <c r="FC20" s="62"/>
      <c r="FD20" s="3"/>
      <c r="FT20" s="117"/>
      <c r="FU20" s="117"/>
      <c r="FV20" s="9"/>
    </row>
    <row r="21" spans="1:178" ht="22.05" customHeight="1">
      <c r="A21" s="117"/>
      <c r="B21" s="117"/>
      <c r="C21" s="9"/>
      <c r="D21" s="5"/>
      <c r="E21" s="9"/>
      <c r="F21" s="9"/>
      <c r="G21" s="9"/>
      <c r="H21" s="9"/>
      <c r="I21" s="9"/>
      <c r="J21" s="58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62"/>
      <c r="BR21" s="97"/>
      <c r="BS21" s="1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55"/>
      <c r="CE21" s="60"/>
      <c r="CF21" s="55"/>
      <c r="CG21" s="66"/>
      <c r="CH21" s="66"/>
      <c r="CI21" s="66"/>
      <c r="CJ21" s="66"/>
      <c r="CK21" s="66"/>
      <c r="CL21" s="62"/>
      <c r="CM21" s="97"/>
      <c r="CN21" s="1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55"/>
      <c r="DE21" s="60"/>
      <c r="DF21" s="55"/>
      <c r="DG21" s="66"/>
      <c r="DH21" s="66"/>
      <c r="DI21" s="66"/>
      <c r="DJ21" s="66"/>
      <c r="DK21" s="66"/>
      <c r="DL21" s="66"/>
      <c r="DM21" s="66"/>
      <c r="DN21" s="66"/>
      <c r="DO21" s="66"/>
      <c r="DP21" s="66"/>
      <c r="DQ21" s="66"/>
      <c r="DR21" s="66"/>
      <c r="DS21" s="66"/>
      <c r="DT21" s="66"/>
      <c r="DU21" s="66"/>
      <c r="DV21" s="66"/>
      <c r="DW21" s="66"/>
      <c r="DX21" s="66"/>
      <c r="DY21" s="66"/>
      <c r="DZ21" s="66"/>
      <c r="EA21" s="66"/>
      <c r="EB21" s="66"/>
      <c r="EC21" s="66"/>
      <c r="ED21" s="66"/>
      <c r="EE21" s="66"/>
      <c r="EF21" s="66"/>
      <c r="EG21" s="66"/>
      <c r="EH21" s="66"/>
      <c r="EI21" s="66"/>
      <c r="EJ21" s="66"/>
      <c r="EK21" s="66"/>
      <c r="EL21" s="66"/>
      <c r="EM21" s="66"/>
      <c r="EN21" s="66"/>
      <c r="EO21" s="91"/>
      <c r="EP21" s="66"/>
      <c r="EQ21" s="66"/>
      <c r="ER21" s="66"/>
      <c r="ES21" s="91"/>
      <c r="ET21" s="66"/>
      <c r="EU21" s="66"/>
      <c r="EV21" s="66"/>
      <c r="EW21" s="66"/>
      <c r="EX21" s="66"/>
      <c r="EY21" s="66"/>
      <c r="EZ21" s="66"/>
      <c r="FA21" s="66"/>
      <c r="FB21" s="66"/>
      <c r="FC21" s="66"/>
      <c r="FD21" s="66"/>
      <c r="FE21" s="66"/>
      <c r="FF21" s="66"/>
      <c r="FG21" s="66"/>
      <c r="FH21" s="66"/>
      <c r="FI21" s="66"/>
      <c r="FJ21" s="66"/>
      <c r="FK21" s="66"/>
      <c r="FL21" s="66"/>
      <c r="FM21" s="66"/>
      <c r="FT21" s="117"/>
      <c r="FU21" s="117"/>
      <c r="FV21" s="9"/>
    </row>
    <row r="22" spans="1:178" ht="22.05" customHeight="1">
      <c r="A22" s="117" t="s">
        <v>328</v>
      </c>
      <c r="B22" s="117"/>
      <c r="C22" s="25"/>
      <c r="D22" s="5"/>
      <c r="E22" s="9"/>
      <c r="F22" s="9"/>
      <c r="G22" s="9"/>
      <c r="H22" s="9"/>
      <c r="I22" s="9"/>
      <c r="J22" s="116" t="s">
        <v>312</v>
      </c>
      <c r="K22" s="116"/>
      <c r="L22" s="54">
        <v>1827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BQ22" s="58"/>
      <c r="BR22" s="67">
        <v>5</v>
      </c>
      <c r="CL22" s="58"/>
      <c r="CM22" s="67">
        <v>5</v>
      </c>
      <c r="EK22" s="58"/>
      <c r="EL22" s="67">
        <v>4</v>
      </c>
      <c r="EN22" s="3"/>
      <c r="EO22" s="67"/>
      <c r="EP22" s="3"/>
      <c r="EQ22" s="7"/>
      <c r="ER22" s="7"/>
      <c r="ES22" s="67"/>
      <c r="ET22" s="69"/>
      <c r="FA22" s="9"/>
      <c r="FB22" s="58"/>
      <c r="FC22" s="67">
        <v>3</v>
      </c>
      <c r="FI22" s="58"/>
      <c r="FJ22" s="67">
        <v>2</v>
      </c>
      <c r="FK22" s="9"/>
      <c r="FM22" s="58"/>
      <c r="FN22" s="67">
        <v>1</v>
      </c>
      <c r="FO22" s="3"/>
      <c r="FP22" s="3"/>
      <c r="FQ22" s="7"/>
      <c r="FR22" s="3"/>
      <c r="FS22" s="3"/>
      <c r="FT22" s="117" t="s">
        <v>328</v>
      </c>
      <c r="FU22" s="117"/>
      <c r="FV22" s="25"/>
    </row>
    <row r="23" spans="1:178" ht="22.05" customHeight="1">
      <c r="A23" s="117"/>
      <c r="B23" s="117"/>
      <c r="C23" s="9"/>
      <c r="D23" s="9"/>
      <c r="E23" s="9"/>
      <c r="F23" s="9"/>
      <c r="G23" s="9"/>
      <c r="H23" s="9"/>
      <c r="I23" s="9"/>
      <c r="J23" s="116"/>
      <c r="K23" s="116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BB23" s="63"/>
      <c r="BP23" s="63"/>
      <c r="BQ23" s="116" t="s">
        <v>312</v>
      </c>
      <c r="BR23" s="116" t="s">
        <v>336</v>
      </c>
      <c r="BS23" s="54">
        <v>1820</v>
      </c>
      <c r="BT23" s="63"/>
      <c r="CL23" s="116" t="s">
        <v>312</v>
      </c>
      <c r="CM23" s="116" t="s">
        <v>336</v>
      </c>
      <c r="CN23" s="54">
        <v>1820</v>
      </c>
      <c r="DX23" s="63"/>
      <c r="DZ23" s="62"/>
      <c r="EK23" s="116" t="s">
        <v>312</v>
      </c>
      <c r="EL23" s="116"/>
      <c r="EM23" s="5">
        <v>1812</v>
      </c>
      <c r="EN23" s="3"/>
      <c r="EO23" s="67"/>
      <c r="EP23" s="3"/>
      <c r="EQ23" s="7"/>
      <c r="ER23" s="7"/>
      <c r="ES23" s="67"/>
      <c r="ET23" s="5"/>
      <c r="FB23" s="120" t="s">
        <v>312</v>
      </c>
      <c r="FC23" s="120"/>
      <c r="FD23" s="67"/>
      <c r="FE23" s="67"/>
      <c r="FF23" s="67"/>
      <c r="FG23" s="67"/>
      <c r="FH23" s="67"/>
      <c r="FI23" s="120" t="s">
        <v>341</v>
      </c>
      <c r="FJ23" s="120"/>
      <c r="FK23" s="63"/>
      <c r="FM23" s="120" t="s">
        <v>341</v>
      </c>
      <c r="FN23" s="120"/>
      <c r="FO23" s="3"/>
      <c r="FP23" s="3"/>
      <c r="FQ23" s="7"/>
      <c r="FR23" s="3"/>
      <c r="FS23" s="3"/>
      <c r="FT23" s="117"/>
      <c r="FU23" s="117"/>
      <c r="FV23" s="9"/>
    </row>
    <row r="24" spans="1:178" ht="22.05" customHeight="1">
      <c r="A24" s="117"/>
      <c r="B24" s="117"/>
      <c r="C24" s="9"/>
      <c r="D24" s="9"/>
      <c r="E24" s="9"/>
      <c r="F24" s="9"/>
      <c r="G24" s="9"/>
      <c r="H24" s="9"/>
      <c r="I24" s="9"/>
      <c r="J24" s="116" t="s">
        <v>314</v>
      </c>
      <c r="K24" s="116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BB24" s="63"/>
      <c r="BP24" s="63"/>
      <c r="BQ24" s="116"/>
      <c r="BR24" s="116"/>
      <c r="BS24" s="54" t="s">
        <v>4</v>
      </c>
      <c r="BT24" s="63"/>
      <c r="CL24" s="116"/>
      <c r="CM24" s="116"/>
      <c r="CN24" s="54" t="s">
        <v>4</v>
      </c>
      <c r="DX24" s="63"/>
      <c r="DZ24" s="62"/>
      <c r="EL24" s="62"/>
      <c r="EM24" s="5" t="s">
        <v>4</v>
      </c>
      <c r="EN24" s="3"/>
      <c r="EO24" s="67"/>
      <c r="EP24" s="3"/>
      <c r="EQ24" s="7"/>
      <c r="ER24" s="7"/>
      <c r="ES24" s="67"/>
      <c r="ET24" s="5"/>
      <c r="FA24" s="62"/>
      <c r="FC24" s="63"/>
      <c r="FD24" s="93" t="s">
        <v>4</v>
      </c>
      <c r="FI24" s="63"/>
      <c r="FM24" s="63"/>
      <c r="FO24" s="3"/>
      <c r="FP24" s="3"/>
      <c r="FQ24" s="7"/>
      <c r="FR24" s="3"/>
      <c r="FS24" s="3"/>
      <c r="FT24" s="117"/>
      <c r="FU24" s="117"/>
      <c r="FV24" s="9"/>
    </row>
    <row r="25" spans="1:178" ht="22.05" customHeight="1">
      <c r="A25" s="117"/>
      <c r="B25" s="117"/>
      <c r="C25" s="9"/>
      <c r="D25" s="9"/>
      <c r="E25" s="9"/>
      <c r="F25" s="9"/>
      <c r="G25" s="9"/>
      <c r="H25" s="9"/>
      <c r="I25" s="55"/>
      <c r="J25" s="60"/>
      <c r="K25" s="9"/>
      <c r="L25" s="55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K25" s="82"/>
      <c r="AL25" s="82"/>
      <c r="AM25" s="82"/>
      <c r="AN25" s="82"/>
      <c r="AO25" s="82"/>
      <c r="BB25" s="63"/>
      <c r="BQ25" s="116" t="s">
        <v>6</v>
      </c>
      <c r="BR25" s="116" t="s">
        <v>339</v>
      </c>
      <c r="BS25" s="54">
        <v>1872</v>
      </c>
      <c r="BT25" s="63"/>
      <c r="CL25" s="116" t="s">
        <v>6</v>
      </c>
      <c r="CM25" s="116" t="s">
        <v>339</v>
      </c>
      <c r="CN25" s="54">
        <v>1872</v>
      </c>
      <c r="DX25" s="63"/>
      <c r="DZ25" s="62"/>
      <c r="EK25" s="116" t="s">
        <v>338</v>
      </c>
      <c r="EL25" s="116"/>
      <c r="EM25" s="5">
        <v>1836</v>
      </c>
      <c r="EN25" s="3"/>
      <c r="EO25" s="67"/>
      <c r="EP25" s="3"/>
      <c r="EQ25" s="7"/>
      <c r="ER25" s="7"/>
      <c r="ES25" s="67"/>
      <c r="ET25" s="5"/>
      <c r="FA25" s="62"/>
      <c r="FB25" s="120" t="s">
        <v>340</v>
      </c>
      <c r="FC25" s="120"/>
      <c r="FD25" s="93">
        <v>1864</v>
      </c>
      <c r="FI25" s="120" t="s">
        <v>342</v>
      </c>
      <c r="FJ25" s="120"/>
      <c r="FM25" s="120" t="s">
        <v>342</v>
      </c>
      <c r="FN25" s="120"/>
      <c r="FO25" s="3"/>
      <c r="FP25" s="3"/>
      <c r="FQ25" s="7"/>
      <c r="FR25" s="3"/>
      <c r="FS25" s="3"/>
      <c r="FT25" s="117"/>
      <c r="FU25" s="117"/>
      <c r="FV25" s="9"/>
    </row>
    <row r="26" spans="1:178" ht="22.05" customHeight="1">
      <c r="A26" s="117"/>
      <c r="B26" s="117"/>
      <c r="C26" s="9"/>
      <c r="D26" s="9"/>
      <c r="E26" s="9"/>
      <c r="F26" s="9"/>
      <c r="G26" s="58"/>
      <c r="H26" s="19"/>
      <c r="I26" s="9"/>
      <c r="J26" s="9"/>
      <c r="K26" s="19"/>
      <c r="L26" s="9"/>
      <c r="M26" s="61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K26" s="82"/>
      <c r="AL26" s="82"/>
      <c r="AM26" s="82"/>
      <c r="AN26" s="82"/>
      <c r="AO26" s="82"/>
      <c r="AU26" s="82"/>
      <c r="AV26" s="82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0"/>
      <c r="BR26" s="55"/>
      <c r="BS26" s="94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0"/>
      <c r="CM26" s="55"/>
      <c r="CN26" s="94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EL26" s="3"/>
      <c r="EM26" s="3"/>
      <c r="EN26" s="3"/>
      <c r="EO26" s="67"/>
      <c r="EP26" s="3"/>
      <c r="EQ26" s="7"/>
      <c r="ER26" s="7"/>
      <c r="ES26" s="67"/>
      <c r="ET26" s="3"/>
      <c r="EU26" s="3"/>
      <c r="EV26" s="3"/>
      <c r="EW26" s="3"/>
      <c r="EX26" s="7"/>
      <c r="EY26" s="7"/>
      <c r="EZ26" s="7"/>
      <c r="FA26" s="3"/>
      <c r="FB26" s="3"/>
      <c r="FC26" s="10"/>
      <c r="FD26" s="62"/>
      <c r="FE26" s="3"/>
      <c r="FF26" s="7"/>
      <c r="FG26" s="7"/>
      <c r="FH26" s="7"/>
      <c r="FI26" s="7"/>
      <c r="FJ26" s="7"/>
      <c r="FK26" s="7"/>
      <c r="FL26" s="7"/>
      <c r="FM26" s="3"/>
      <c r="FN26" s="8"/>
      <c r="FO26" s="8"/>
      <c r="FP26" s="8"/>
      <c r="FQ26" s="7"/>
      <c r="FR26" s="6"/>
      <c r="FS26" s="6"/>
      <c r="FT26" s="117"/>
      <c r="FU26" s="117"/>
      <c r="FV26" s="9"/>
    </row>
    <row r="27" spans="1:178" ht="22.05" customHeight="1">
      <c r="A27" s="122" t="s">
        <v>329</v>
      </c>
      <c r="B27" s="123"/>
      <c r="C27" s="9"/>
      <c r="D27" s="9"/>
      <c r="E27" s="9"/>
      <c r="F27" s="9"/>
      <c r="G27" s="116" t="s">
        <v>312</v>
      </c>
      <c r="H27" s="116"/>
      <c r="I27" s="54">
        <v>1865</v>
      </c>
      <c r="J27" s="9"/>
      <c r="K27" s="9"/>
      <c r="L27" s="9"/>
      <c r="M27" s="116" t="s">
        <v>312</v>
      </c>
      <c r="N27" s="116"/>
      <c r="O27" s="54">
        <v>1858</v>
      </c>
      <c r="P27" s="9"/>
      <c r="Q27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96"/>
      <c r="AY27" s="67">
        <v>2</v>
      </c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DC27" s="95"/>
      <c r="DD27" s="67">
        <v>1</v>
      </c>
      <c r="EL27" s="3"/>
      <c r="EM27" s="3"/>
      <c r="EN27" s="3"/>
      <c r="EO27" s="67"/>
      <c r="EP27" s="3"/>
      <c r="EQ27" s="7"/>
      <c r="ER27" s="7"/>
      <c r="ES27" s="67"/>
      <c r="ET27" s="3"/>
      <c r="EU27" s="3"/>
      <c r="EV27" s="3"/>
      <c r="EW27" s="3"/>
      <c r="EX27" s="7"/>
      <c r="EY27" s="7"/>
      <c r="EZ27" s="7"/>
      <c r="FA27" s="5"/>
      <c r="FB27" s="95"/>
      <c r="FE27" s="3"/>
      <c r="FF27" s="7"/>
      <c r="FG27" s="7"/>
      <c r="FH27" s="7"/>
      <c r="FI27" s="7"/>
      <c r="FJ27" s="7"/>
      <c r="FK27" s="7"/>
      <c r="FL27" s="7"/>
      <c r="FM27" s="3"/>
      <c r="FN27" s="8"/>
      <c r="FO27" s="8"/>
      <c r="FP27" s="8"/>
      <c r="FQ27" s="7"/>
      <c r="FR27" s="6"/>
      <c r="FS27" s="6"/>
      <c r="FT27" s="122" t="s">
        <v>329</v>
      </c>
      <c r="FU27" s="123"/>
      <c r="FV27" s="9"/>
    </row>
    <row r="28" spans="1:178" ht="22.05" customHeight="1">
      <c r="A28" s="124"/>
      <c r="B28" s="125"/>
      <c r="C28" s="9"/>
      <c r="D28" s="9"/>
      <c r="E28" s="9"/>
      <c r="F28" s="9"/>
      <c r="G28" s="116"/>
      <c r="H28" s="116"/>
      <c r="I28" s="9"/>
      <c r="J28" s="9"/>
      <c r="K28" s="9"/>
      <c r="L28" s="9"/>
      <c r="M28" s="116"/>
      <c r="N28" s="116"/>
      <c r="O28" s="9"/>
      <c r="P28" s="9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X28" s="121" t="s">
        <v>312</v>
      </c>
      <c r="AY28" s="121"/>
      <c r="AZ28" s="87">
        <v>1868</v>
      </c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DB28" s="63"/>
      <c r="DC28" s="120" t="s">
        <v>312</v>
      </c>
      <c r="DD28" s="120"/>
      <c r="DE28" s="54">
        <v>1850</v>
      </c>
      <c r="DF28" s="63"/>
      <c r="DG28" s="63"/>
      <c r="DH28" s="63"/>
      <c r="DK28" s="62"/>
      <c r="DL28" s="63"/>
      <c r="DM28" s="63"/>
      <c r="DN28" s="63"/>
      <c r="DP28" s="62"/>
      <c r="DQ28" s="62"/>
      <c r="DT28" s="63"/>
      <c r="DU28" s="63"/>
      <c r="DV28" s="63"/>
      <c r="DW28" s="63"/>
      <c r="DX28" s="63"/>
      <c r="DY28" s="63"/>
      <c r="DZ28" s="63"/>
      <c r="EA28" s="63"/>
      <c r="EB28" s="63"/>
      <c r="EC28" s="63"/>
      <c r="ED28" s="63"/>
      <c r="EE28" s="63"/>
      <c r="EF28" s="63"/>
      <c r="EG28" s="63"/>
      <c r="EH28" s="63"/>
      <c r="EI28" s="63"/>
      <c r="EJ28" s="63"/>
      <c r="EK28" s="63"/>
      <c r="EL28" s="3"/>
      <c r="EM28" s="3"/>
      <c r="EN28" s="3"/>
      <c r="EO28" s="67"/>
      <c r="EP28" s="3"/>
      <c r="EQ28" s="7"/>
      <c r="ER28" s="7"/>
      <c r="ES28" s="67"/>
      <c r="ET28" s="3"/>
      <c r="EU28" s="3"/>
      <c r="EV28" s="3"/>
      <c r="EW28" s="3"/>
      <c r="EX28" s="7"/>
      <c r="EY28" s="7"/>
      <c r="EZ28" s="7"/>
      <c r="FA28" s="5"/>
      <c r="FB28" s="116" t="s">
        <v>312</v>
      </c>
      <c r="FC28" s="116"/>
      <c r="FD28" s="93">
        <v>1843</v>
      </c>
      <c r="FE28" s="3"/>
      <c r="FF28" s="7"/>
      <c r="FG28" s="7"/>
      <c r="FH28" s="7"/>
      <c r="FI28" s="7"/>
      <c r="FJ28" s="7"/>
      <c r="FK28" s="7"/>
      <c r="FL28" s="7"/>
      <c r="FM28" s="3"/>
      <c r="FN28" s="8"/>
      <c r="FO28" s="8"/>
      <c r="FP28" s="8"/>
      <c r="FQ28" s="7"/>
      <c r="FR28" s="6"/>
      <c r="FS28" s="6"/>
      <c r="FT28" s="124"/>
      <c r="FU28" s="125"/>
      <c r="FV28" s="9"/>
    </row>
    <row r="29" spans="1:178" ht="22.05" customHeight="1">
      <c r="A29" s="124"/>
      <c r="B29" s="125"/>
      <c r="C29" s="9"/>
      <c r="D29" s="9"/>
      <c r="E29" s="9"/>
      <c r="F29" s="9"/>
      <c r="G29" s="116" t="s">
        <v>315</v>
      </c>
      <c r="H29" s="116"/>
      <c r="I29" s="9"/>
      <c r="J29" s="9"/>
      <c r="K29" s="9"/>
      <c r="L29" s="9"/>
      <c r="M29" s="116" t="s">
        <v>316</v>
      </c>
      <c r="N29" s="116"/>
      <c r="O29" s="9"/>
      <c r="P29" s="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X29" s="116" t="s">
        <v>111</v>
      </c>
      <c r="AY29" s="116"/>
      <c r="AZ29" s="87" t="s">
        <v>4</v>
      </c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DB29" s="63"/>
      <c r="DE29" s="54" t="s">
        <v>4</v>
      </c>
      <c r="DF29" s="63"/>
      <c r="DG29" s="63"/>
      <c r="DH29" s="63"/>
      <c r="DK29" s="62"/>
      <c r="DL29" s="63"/>
      <c r="DM29" s="63"/>
      <c r="DN29" s="63"/>
      <c r="DP29" s="62"/>
      <c r="DQ29" s="62"/>
      <c r="DT29" s="63"/>
      <c r="DU29" s="63"/>
      <c r="DV29" s="63"/>
      <c r="DW29" s="63"/>
      <c r="DX29" s="63"/>
      <c r="DY29" s="63"/>
      <c r="DZ29" s="63"/>
      <c r="EA29" s="63"/>
      <c r="EB29" s="63"/>
      <c r="EC29" s="63"/>
      <c r="ED29" s="63"/>
      <c r="EE29" s="63"/>
      <c r="EF29" s="63"/>
      <c r="EG29" s="63"/>
      <c r="EH29" s="63"/>
      <c r="EI29" s="63"/>
      <c r="EJ29" s="63"/>
      <c r="EK29" s="63"/>
      <c r="EL29" s="3"/>
      <c r="EM29" s="3"/>
      <c r="EN29" s="3"/>
      <c r="EO29" s="67"/>
      <c r="EP29" s="3"/>
      <c r="EQ29" s="7"/>
      <c r="ER29" s="7"/>
      <c r="ES29" s="67"/>
      <c r="ET29" s="3"/>
      <c r="EU29" s="3"/>
      <c r="EV29" s="3"/>
      <c r="EW29" s="3"/>
      <c r="EX29" s="7"/>
      <c r="EY29" s="7"/>
      <c r="EZ29" s="7"/>
      <c r="FA29" s="5"/>
      <c r="FE29" s="3"/>
      <c r="FF29" s="7"/>
      <c r="FG29" s="7"/>
      <c r="FH29" s="7"/>
      <c r="FI29" s="7"/>
      <c r="FJ29" s="7"/>
      <c r="FK29" s="7"/>
      <c r="FL29" s="7"/>
      <c r="FM29" s="3"/>
      <c r="FN29" s="8"/>
      <c r="FO29" s="8"/>
      <c r="FP29" s="8"/>
      <c r="FQ29" s="7"/>
      <c r="FR29" s="6"/>
      <c r="FS29" s="6"/>
      <c r="FT29" s="124"/>
      <c r="FU29" s="125"/>
      <c r="FV29" s="9"/>
    </row>
    <row r="30" spans="1:178" ht="22.05" customHeight="1">
      <c r="A30" s="124"/>
      <c r="B30" s="125"/>
      <c r="C30" s="9"/>
      <c r="D30" s="25"/>
      <c r="E30" s="55"/>
      <c r="F30" s="55"/>
      <c r="G30" s="60"/>
      <c r="H30" s="9"/>
      <c r="I30" s="9"/>
      <c r="J30" s="25"/>
      <c r="K30" s="25"/>
      <c r="L30" s="25"/>
      <c r="M30" s="58"/>
      <c r="N30" s="9"/>
      <c r="O30" s="9"/>
      <c r="P30" s="9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X30" s="116" t="s">
        <v>113</v>
      </c>
      <c r="AY30" s="116"/>
      <c r="AZ30" s="87">
        <v>1919</v>
      </c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DB30" s="63"/>
      <c r="DC30" s="120" t="s">
        <v>347</v>
      </c>
      <c r="DD30" s="120"/>
      <c r="DE30" s="54">
        <v>1893</v>
      </c>
      <c r="DF30" s="63"/>
      <c r="DG30" s="63"/>
      <c r="DH30" s="63"/>
      <c r="DK30" s="62"/>
      <c r="DL30" s="63"/>
      <c r="DM30" s="63"/>
      <c r="DN30" s="63"/>
      <c r="DP30" s="62"/>
      <c r="DQ30" s="62"/>
      <c r="DT30" s="63"/>
      <c r="DU30" s="63"/>
      <c r="DV30" s="63"/>
      <c r="DW30" s="63"/>
      <c r="DX30" s="63"/>
      <c r="DY30" s="63"/>
      <c r="DZ30" s="63"/>
      <c r="EA30" s="63"/>
      <c r="EB30" s="63"/>
      <c r="EC30" s="63"/>
      <c r="ED30" s="63"/>
      <c r="EE30" s="63"/>
      <c r="EF30" s="63"/>
      <c r="EG30" s="63"/>
      <c r="EH30" s="63"/>
      <c r="EI30" s="63"/>
      <c r="EJ30" s="63"/>
      <c r="EK30" s="63"/>
      <c r="EL30" s="3"/>
      <c r="EM30" s="3"/>
      <c r="EN30" s="3"/>
      <c r="EO30" s="67"/>
      <c r="EP30" s="3"/>
      <c r="EQ30" s="7"/>
      <c r="ER30" s="7"/>
      <c r="ES30" s="67"/>
      <c r="ET30" s="3"/>
      <c r="EU30" s="3"/>
      <c r="EV30" s="3"/>
      <c r="EW30" s="3"/>
      <c r="EX30" s="7"/>
      <c r="EY30" s="7"/>
      <c r="EZ30" s="7"/>
      <c r="FA30" s="3"/>
      <c r="FB30" s="116" t="s">
        <v>293</v>
      </c>
      <c r="FC30" s="116"/>
      <c r="FD30" s="93">
        <v>1911</v>
      </c>
      <c r="FE30" s="3"/>
      <c r="FF30" s="7"/>
      <c r="FG30" s="9"/>
      <c r="FH30" s="9"/>
      <c r="FI30" s="9"/>
      <c r="FJ30" s="7"/>
      <c r="FK30" s="7"/>
      <c r="FL30" s="7"/>
      <c r="FM30" s="3"/>
      <c r="FN30" s="8"/>
      <c r="FO30" s="8"/>
      <c r="FP30" s="8"/>
      <c r="FQ30" s="7"/>
      <c r="FR30" s="6"/>
      <c r="FS30" s="6"/>
      <c r="FT30" s="124"/>
      <c r="FU30" s="125"/>
      <c r="FV30" s="9"/>
    </row>
    <row r="31" spans="1:178" ht="22.05" customHeight="1">
      <c r="A31" s="126"/>
      <c r="B31" s="127"/>
      <c r="C31" s="9"/>
      <c r="D31" s="25"/>
      <c r="E31" s="57"/>
      <c r="F31" s="9"/>
      <c r="G31" s="19"/>
      <c r="H31" s="61"/>
      <c r="I31" s="9"/>
      <c r="J31" s="25"/>
      <c r="K31" s="25"/>
      <c r="L31" s="25"/>
      <c r="N31" s="10"/>
      <c r="P31" s="9"/>
      <c r="Q31" s="82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1"/>
      <c r="AD31" s="70"/>
      <c r="AE31" s="70"/>
      <c r="AF31" s="71"/>
      <c r="AG31" s="70"/>
      <c r="AH31" s="70"/>
      <c r="AI31" s="72"/>
      <c r="AJ31" s="72"/>
      <c r="AK31" s="73"/>
      <c r="AL31" s="74"/>
      <c r="AM31" s="74"/>
      <c r="AN31" s="74"/>
      <c r="AO31" s="75"/>
      <c r="AP31" s="75"/>
      <c r="AQ31" s="81"/>
      <c r="AR31" s="70"/>
      <c r="AS31" s="70"/>
      <c r="AT31" s="70"/>
      <c r="AU31" s="71"/>
      <c r="AV31" s="70"/>
      <c r="AW31" s="76"/>
      <c r="AX31" s="76"/>
      <c r="AY31" s="77"/>
      <c r="AZ31" s="88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1"/>
      <c r="BM31" s="70"/>
      <c r="BN31" s="70"/>
      <c r="BO31" s="71"/>
      <c r="BP31" s="70"/>
      <c r="BQ31" s="70"/>
      <c r="BR31" s="76"/>
      <c r="BS31" s="76"/>
      <c r="BT31" s="70"/>
      <c r="BU31" s="76"/>
      <c r="BV31" s="73"/>
      <c r="BW31" s="73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9"/>
      <c r="CI31" s="79"/>
      <c r="CM31" s="9"/>
      <c r="CN31" s="9"/>
      <c r="CO31" s="55"/>
      <c r="CP31" s="55"/>
      <c r="CQ31" s="55"/>
      <c r="CR31" s="55"/>
      <c r="CS31" s="55"/>
      <c r="CT31" s="55"/>
      <c r="CU31" s="55"/>
      <c r="CV31" s="55"/>
      <c r="CW31" s="9"/>
      <c r="CX31" s="9"/>
      <c r="CY31" s="9"/>
      <c r="DC31" s="60"/>
      <c r="DD31" s="59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82"/>
      <c r="DQ31" s="82"/>
      <c r="DR31" s="82"/>
      <c r="DS31" s="82"/>
      <c r="DT31" s="82"/>
      <c r="DU31" s="82"/>
      <c r="DV31" s="82"/>
      <c r="DW31" s="82"/>
      <c r="DX31" s="82"/>
      <c r="DY31" s="82"/>
      <c r="DZ31" s="82"/>
      <c r="EA31" s="82"/>
      <c r="EB31" s="82"/>
      <c r="EC31" s="82"/>
      <c r="ED31" s="82"/>
      <c r="EE31" s="82"/>
      <c r="EF31" s="82"/>
      <c r="EG31" s="82"/>
      <c r="EH31" s="82"/>
      <c r="EI31" s="82"/>
      <c r="EJ31" s="82"/>
      <c r="EK31" s="82"/>
      <c r="EL31" s="3"/>
      <c r="EM31" s="3"/>
      <c r="EN31" s="3"/>
      <c r="EO31" s="3"/>
      <c r="EP31" s="3"/>
      <c r="EQ31" s="7"/>
      <c r="ER31" s="7"/>
      <c r="ES31" s="3"/>
      <c r="ET31" s="3"/>
      <c r="EU31" s="3"/>
      <c r="EV31" s="3"/>
      <c r="EW31" s="3"/>
      <c r="EX31" s="7"/>
      <c r="EY31" s="7"/>
      <c r="EZ31" s="7"/>
      <c r="FA31" s="3"/>
      <c r="FB31" s="3"/>
      <c r="FC31" s="10"/>
      <c r="FD31" s="3"/>
      <c r="FE31" s="3"/>
      <c r="FF31" s="7"/>
      <c r="FG31" s="9"/>
      <c r="FH31" s="9"/>
      <c r="FI31" s="9"/>
      <c r="FJ31" s="7"/>
      <c r="FK31" s="7"/>
      <c r="FL31" s="7"/>
      <c r="FM31" s="3"/>
      <c r="FN31" s="8"/>
      <c r="FO31" s="8"/>
      <c r="FP31" s="8"/>
      <c r="FQ31" s="7"/>
      <c r="FR31" s="6"/>
      <c r="FS31" s="6"/>
      <c r="FT31" s="126"/>
      <c r="FU31" s="127"/>
      <c r="FV31" s="9"/>
    </row>
    <row r="32" spans="1:178" ht="22.05" customHeight="1">
      <c r="A32" s="117" t="s">
        <v>330</v>
      </c>
      <c r="B32" s="117"/>
      <c r="C32" s="9"/>
      <c r="D32" s="25"/>
      <c r="E32" s="31"/>
      <c r="F32" s="65"/>
      <c r="G32" s="65"/>
      <c r="H32" s="58"/>
      <c r="I32" s="9"/>
      <c r="J32" s="25"/>
      <c r="K32" s="25"/>
      <c r="L32" s="25"/>
      <c r="M32" s="53"/>
      <c r="N32" s="83"/>
      <c r="P32" s="9"/>
      <c r="Q32" s="82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8">
        <v>3</v>
      </c>
      <c r="AE32" s="13"/>
      <c r="AF32" s="13"/>
      <c r="AG32" s="13"/>
      <c r="AH32" s="13"/>
      <c r="AI32" s="20"/>
      <c r="AJ32" s="20"/>
      <c r="AK32" s="21"/>
      <c r="AL32" s="37"/>
      <c r="AM32" s="37"/>
      <c r="AN32" s="37"/>
      <c r="AO32" s="12"/>
      <c r="AP32" s="12"/>
      <c r="AQ32" s="14"/>
      <c r="AR32" s="13"/>
      <c r="AS32" s="13"/>
      <c r="AT32" s="13"/>
      <c r="AU32" s="14"/>
      <c r="AV32" s="13"/>
      <c r="AW32" s="13"/>
      <c r="AX32" s="30"/>
      <c r="AY32" s="18">
        <v>2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30"/>
      <c r="BV32" s="67">
        <v>1</v>
      </c>
      <c r="BW32" s="3"/>
      <c r="BX32" s="6"/>
      <c r="BY32" s="6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9"/>
      <c r="CK32" s="9"/>
      <c r="CL32" s="9"/>
      <c r="CM32" s="1"/>
      <c r="CN32" s="98">
        <v>2</v>
      </c>
      <c r="CO32" s="12"/>
      <c r="CP32" s="12"/>
      <c r="CQ32" s="12"/>
      <c r="CR32" s="12"/>
      <c r="CS32" s="12"/>
      <c r="CT32" s="12"/>
      <c r="CU32" s="12"/>
      <c r="CV32" s="13"/>
      <c r="CW32" s="13"/>
      <c r="CX32" s="12"/>
      <c r="CY32" s="14"/>
      <c r="CZ32" s="13"/>
      <c r="DA32" s="13"/>
      <c r="DB32" s="13"/>
      <c r="DC32" s="13"/>
      <c r="DD32" s="13"/>
      <c r="DE32" s="14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30"/>
      <c r="DX32" s="67">
        <v>1</v>
      </c>
      <c r="DY32" s="3"/>
      <c r="DZ32" s="3"/>
      <c r="EA32" s="3"/>
      <c r="EB32" s="8"/>
      <c r="EC32" s="8"/>
      <c r="ED32" s="6"/>
      <c r="EE32" s="6"/>
      <c r="EF32" s="6"/>
      <c r="EG32" s="7"/>
      <c r="EH32" s="7"/>
      <c r="EI32" s="7"/>
      <c r="EJ32" s="7"/>
      <c r="EK32" s="82"/>
      <c r="EL32" s="9"/>
      <c r="EM32" s="9"/>
      <c r="EN32" s="9"/>
      <c r="EO32" s="9"/>
      <c r="EP32" s="9"/>
      <c r="EQ32" s="9"/>
      <c r="ER32" s="3"/>
      <c r="ES32" s="9"/>
      <c r="ET32" s="9"/>
      <c r="EU32" s="9"/>
      <c r="EV32" s="3"/>
      <c r="EW32" s="3"/>
      <c r="EX32" s="3"/>
      <c r="EY32" s="18"/>
      <c r="EZ32" s="13"/>
      <c r="FA32" s="22"/>
      <c r="FB32" s="13"/>
      <c r="FC32" s="13"/>
      <c r="FD32" s="22"/>
      <c r="FE32" s="13"/>
      <c r="FF32" s="30"/>
      <c r="FG32" s="9"/>
      <c r="FH32" s="9"/>
      <c r="FI32" s="9"/>
      <c r="FJ32" s="3"/>
      <c r="FK32" s="9"/>
      <c r="FL32" s="9"/>
      <c r="FM32" s="9"/>
      <c r="FN32" s="9"/>
      <c r="FO32" s="9"/>
      <c r="FP32" s="9"/>
      <c r="FQ32" s="9"/>
      <c r="FR32" s="9"/>
      <c r="FS32" s="9"/>
      <c r="FT32" s="117" t="s">
        <v>330</v>
      </c>
      <c r="FU32" s="117"/>
      <c r="FV32" s="9"/>
    </row>
    <row r="33" spans="1:178" ht="22.05" customHeight="1">
      <c r="A33" s="117"/>
      <c r="B33" s="117"/>
      <c r="C33" s="9"/>
      <c r="D33" s="116" t="s">
        <v>312</v>
      </c>
      <c r="E33" s="116"/>
      <c r="F33" s="54">
        <v>1896</v>
      </c>
      <c r="H33" s="116" t="s">
        <v>312</v>
      </c>
      <c r="I33" s="116"/>
      <c r="M33" s="116" t="s">
        <v>312</v>
      </c>
      <c r="N33" s="116"/>
      <c r="O33" s="54">
        <v>1892</v>
      </c>
      <c r="P33" s="9"/>
      <c r="Q33" s="82"/>
      <c r="R33" s="3"/>
      <c r="S33" s="3"/>
      <c r="T33" s="3"/>
      <c r="U33" s="3"/>
      <c r="V33" s="3"/>
      <c r="W33" s="3"/>
      <c r="X33" s="3"/>
      <c r="Y33" s="3"/>
      <c r="Z33" s="3"/>
      <c r="AA33" s="3"/>
      <c r="AB33" s="5"/>
      <c r="AC33" s="116" t="s">
        <v>1</v>
      </c>
      <c r="AD33" s="116"/>
      <c r="AE33" s="5">
        <v>1917</v>
      </c>
      <c r="AF33" s="3"/>
      <c r="AG33" s="3"/>
      <c r="AH33" s="3"/>
      <c r="AI33" s="8"/>
      <c r="AJ33" s="8"/>
      <c r="AK33" s="6"/>
      <c r="AL33" s="1"/>
      <c r="AM33" s="1"/>
      <c r="AN33" s="1"/>
      <c r="AO33" s="2"/>
      <c r="AP33" s="2"/>
      <c r="AQ33" s="69"/>
      <c r="AR33" s="3"/>
      <c r="AS33" s="3"/>
      <c r="AT33" s="3"/>
      <c r="AU33" s="69"/>
      <c r="AV33" s="3"/>
      <c r="AW33" s="5"/>
      <c r="AX33" s="116" t="s">
        <v>1</v>
      </c>
      <c r="AY33" s="116"/>
      <c r="AZ33" s="5">
        <v>1909</v>
      </c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5"/>
      <c r="BS33" s="3"/>
      <c r="BT33" s="5"/>
      <c r="BU33" s="116" t="s">
        <v>1</v>
      </c>
      <c r="BV33" s="116"/>
      <c r="BW33" s="5">
        <v>1903</v>
      </c>
      <c r="BX33" s="6"/>
      <c r="BY33" s="6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9"/>
      <c r="CK33" s="9"/>
      <c r="CL33" s="9"/>
      <c r="CM33" s="116" t="s">
        <v>312</v>
      </c>
      <c r="CN33" s="116"/>
      <c r="CO33" s="5">
        <v>1893</v>
      </c>
      <c r="CP33" s="2"/>
      <c r="CQ33" s="2"/>
      <c r="CR33" s="2"/>
      <c r="CS33" s="2"/>
      <c r="CT33" s="2"/>
      <c r="CU33" s="2"/>
      <c r="CV33" s="3"/>
      <c r="CW33" s="3"/>
      <c r="CX33" s="2"/>
      <c r="CY33" s="69"/>
      <c r="CZ33" s="3"/>
      <c r="DA33" s="3"/>
      <c r="DB33" s="3"/>
      <c r="DC33" s="3"/>
      <c r="DD33" s="3"/>
      <c r="DE33" s="69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5"/>
      <c r="DW33" s="116" t="s">
        <v>312</v>
      </c>
      <c r="DX33" s="116"/>
      <c r="DY33" s="5">
        <v>1871</v>
      </c>
      <c r="DZ33" s="3"/>
      <c r="EA33" s="3"/>
      <c r="EB33" s="8"/>
      <c r="EC33" s="8"/>
      <c r="ED33" s="6"/>
      <c r="EE33" s="6"/>
      <c r="EF33" s="6"/>
      <c r="EG33" s="7"/>
      <c r="EH33" s="7"/>
      <c r="EI33" s="7"/>
      <c r="EJ33" s="7"/>
      <c r="EL33" s="9"/>
      <c r="EM33" s="9"/>
      <c r="EN33" s="9"/>
      <c r="EO33" s="9"/>
      <c r="EP33" s="9"/>
      <c r="EQ33" s="9"/>
      <c r="ER33" s="3"/>
      <c r="ES33" s="9"/>
      <c r="ET33" s="9"/>
      <c r="EU33" s="9"/>
      <c r="EV33" s="5"/>
      <c r="EW33" s="5"/>
      <c r="EX33" s="116" t="s">
        <v>312</v>
      </c>
      <c r="EY33" s="116"/>
      <c r="EZ33" s="5">
        <v>1886</v>
      </c>
      <c r="FA33" s="5"/>
      <c r="FB33" s="3"/>
      <c r="FC33" s="3"/>
      <c r="FD33" s="9"/>
      <c r="FE33" s="9"/>
      <c r="FF33" s="116" t="s">
        <v>312</v>
      </c>
      <c r="FG33" s="116"/>
      <c r="FH33" s="54">
        <v>1884</v>
      </c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117"/>
      <c r="FU33" s="117"/>
      <c r="FV33" s="9"/>
    </row>
    <row r="34" spans="1:178" ht="22.05" customHeight="1">
      <c r="A34" s="117"/>
      <c r="B34" s="117"/>
      <c r="C34" s="9"/>
      <c r="D34" s="69"/>
      <c r="E34" s="69"/>
      <c r="F34" s="7"/>
      <c r="H34" s="116"/>
      <c r="I34" s="116"/>
      <c r="M34" s="69"/>
      <c r="N34" s="69"/>
      <c r="O34" s="9"/>
      <c r="P34" s="9"/>
      <c r="Q34"/>
      <c r="R34" s="3"/>
      <c r="S34" s="3"/>
      <c r="T34" s="3"/>
      <c r="U34" s="3"/>
      <c r="V34" s="3"/>
      <c r="W34" s="3"/>
      <c r="X34" s="3"/>
      <c r="Y34" s="3"/>
      <c r="Z34" s="3"/>
      <c r="AA34" s="3"/>
      <c r="AB34" s="5"/>
      <c r="AC34" s="3"/>
      <c r="AD34" s="3"/>
      <c r="AE34" s="5" t="s">
        <v>4</v>
      </c>
      <c r="AF34" s="3"/>
      <c r="AG34" s="3"/>
      <c r="AH34" s="3"/>
      <c r="AI34" s="8"/>
      <c r="AJ34" s="8"/>
      <c r="AK34" s="6"/>
      <c r="AL34" s="1"/>
      <c r="AM34" s="1"/>
      <c r="AN34" s="1"/>
      <c r="AO34" s="2"/>
      <c r="AP34" s="2"/>
      <c r="AQ34" s="69"/>
      <c r="AR34" s="3"/>
      <c r="AS34" s="3"/>
      <c r="AT34" s="69"/>
      <c r="AU34" s="69"/>
      <c r="AV34" s="3"/>
      <c r="AW34" s="5"/>
      <c r="AX34" s="3"/>
      <c r="AY34" s="3"/>
      <c r="AZ34" s="5" t="s">
        <v>4</v>
      </c>
      <c r="BA34" s="69"/>
      <c r="BB34" s="3"/>
      <c r="BC34" s="69"/>
      <c r="BD34" s="3"/>
      <c r="BE34" s="3"/>
      <c r="BF34" s="69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5"/>
      <c r="BS34" s="3"/>
      <c r="BT34" s="5"/>
      <c r="BU34" s="116" t="s">
        <v>117</v>
      </c>
      <c r="BV34" s="116"/>
      <c r="BW34" s="5" t="s">
        <v>4</v>
      </c>
      <c r="BX34" s="6"/>
      <c r="BY34" s="6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9"/>
      <c r="CK34" s="9"/>
      <c r="CL34" s="9"/>
      <c r="CM34" s="116" t="s">
        <v>13</v>
      </c>
      <c r="CN34" s="116"/>
      <c r="CO34" s="5" t="s">
        <v>4</v>
      </c>
      <c r="CP34" s="2"/>
      <c r="CQ34" s="2"/>
      <c r="CR34" s="2"/>
      <c r="CS34" s="2"/>
      <c r="CT34" s="2"/>
      <c r="CU34" s="2"/>
      <c r="CV34" s="3"/>
      <c r="CW34" s="69"/>
      <c r="CX34" s="2"/>
      <c r="CY34" s="69"/>
      <c r="CZ34" s="3"/>
      <c r="DA34" s="69"/>
      <c r="DB34" s="3"/>
      <c r="DC34" s="3"/>
      <c r="DD34" s="69"/>
      <c r="DE34" s="69"/>
      <c r="DF34" s="3"/>
      <c r="DG34" s="69"/>
      <c r="DH34" s="3"/>
      <c r="DI34" s="3"/>
      <c r="DJ34" s="69"/>
      <c r="DK34" s="69"/>
      <c r="DL34" s="3"/>
      <c r="DM34" s="69"/>
      <c r="DN34" s="3"/>
      <c r="DO34" s="3"/>
      <c r="DP34" s="69"/>
      <c r="DQ34" s="3"/>
      <c r="DR34" s="3"/>
      <c r="DS34" s="3"/>
      <c r="DT34" s="3"/>
      <c r="DU34" s="3"/>
      <c r="DV34" s="5"/>
      <c r="DW34" s="116" t="s">
        <v>14</v>
      </c>
      <c r="DX34" s="116"/>
      <c r="DY34" s="5" t="s">
        <v>4</v>
      </c>
      <c r="DZ34" s="3"/>
      <c r="EA34" s="3"/>
      <c r="EB34" s="8"/>
      <c r="EC34" s="8"/>
      <c r="ED34" s="6"/>
      <c r="EE34" s="6"/>
      <c r="EF34" s="6"/>
      <c r="EG34" s="7"/>
      <c r="EH34" s="7"/>
      <c r="EI34" s="7"/>
      <c r="EJ34" s="7"/>
      <c r="EL34" s="9"/>
      <c r="EM34" s="9"/>
      <c r="EN34" s="9"/>
      <c r="EO34" s="9"/>
      <c r="EP34" s="9"/>
      <c r="EQ34" s="9"/>
      <c r="ER34" s="3"/>
      <c r="ES34" s="9"/>
      <c r="ET34" s="9"/>
      <c r="EU34" s="9"/>
      <c r="EV34" s="5"/>
      <c r="EW34" s="5"/>
      <c r="EX34" s="3"/>
      <c r="EY34" s="3"/>
      <c r="EZ34" s="54" t="s">
        <v>4</v>
      </c>
      <c r="FA34" s="5"/>
      <c r="FB34" s="3"/>
      <c r="FC34" s="3"/>
      <c r="FD34" s="9"/>
      <c r="FE34" s="9"/>
      <c r="FF34" s="116"/>
      <c r="FG34" s="116"/>
      <c r="FH34" s="54" t="s">
        <v>4</v>
      </c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117"/>
      <c r="FU34" s="117"/>
      <c r="FV34" s="9"/>
    </row>
    <row r="35" spans="1:178" ht="22.05" customHeight="1">
      <c r="A35" s="117"/>
      <c r="B35" s="117"/>
      <c r="C35" s="9"/>
      <c r="D35" s="116" t="s">
        <v>318</v>
      </c>
      <c r="E35" s="116"/>
      <c r="F35" s="7"/>
      <c r="H35" s="116" t="s">
        <v>319</v>
      </c>
      <c r="I35" s="116"/>
      <c r="M35" s="116" t="s">
        <v>317</v>
      </c>
      <c r="N35" s="116"/>
      <c r="O35" s="9"/>
      <c r="P35" s="9"/>
      <c r="Q35"/>
      <c r="R35" s="3"/>
      <c r="S35" s="3"/>
      <c r="T35" s="3"/>
      <c r="U35" s="3"/>
      <c r="V35" s="3"/>
      <c r="W35" s="3"/>
      <c r="X35" s="3"/>
      <c r="Y35" s="3"/>
      <c r="Z35" s="3"/>
      <c r="AA35" s="3"/>
      <c r="AB35" s="5"/>
      <c r="AC35" s="116" t="s">
        <v>119</v>
      </c>
      <c r="AD35" s="116"/>
      <c r="AE35" s="5">
        <v>2002</v>
      </c>
      <c r="AF35" s="3"/>
      <c r="AG35" s="3"/>
      <c r="AH35" s="3"/>
      <c r="AI35" s="8"/>
      <c r="AJ35" s="8"/>
      <c r="AK35" s="6"/>
      <c r="AL35" s="1"/>
      <c r="AM35" s="1"/>
      <c r="AN35" s="1"/>
      <c r="AO35" s="2"/>
      <c r="AP35" s="2"/>
      <c r="AQ35" s="69"/>
      <c r="AR35" s="3"/>
      <c r="AS35" s="3"/>
      <c r="AT35" s="3"/>
      <c r="AU35" s="69"/>
      <c r="AV35" s="3"/>
      <c r="AW35" s="5"/>
      <c r="AX35" s="116" t="s">
        <v>121</v>
      </c>
      <c r="AY35" s="116"/>
      <c r="AZ35" s="5">
        <v>2009</v>
      </c>
      <c r="BA35" s="3"/>
      <c r="BB35" s="116"/>
      <c r="BC35" s="116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5"/>
      <c r="BS35" s="3"/>
      <c r="BT35" s="5"/>
      <c r="BU35" s="116" t="s">
        <v>123</v>
      </c>
      <c r="BV35" s="116"/>
      <c r="BW35" s="5">
        <v>2009</v>
      </c>
      <c r="BX35" s="6"/>
      <c r="BY35" s="6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9"/>
      <c r="CK35" s="9"/>
      <c r="CL35" s="9"/>
      <c r="CM35" s="116" t="s">
        <v>15</v>
      </c>
      <c r="CN35" s="116"/>
      <c r="CO35" s="5">
        <v>1949</v>
      </c>
      <c r="CP35" s="2"/>
      <c r="CQ35" s="2"/>
      <c r="CR35" s="2"/>
      <c r="CS35" s="2"/>
      <c r="CT35" s="2"/>
      <c r="CU35" s="2"/>
      <c r="CV35" s="3"/>
      <c r="CW35" s="3"/>
      <c r="CX35" s="2"/>
      <c r="CY35" s="69"/>
      <c r="CZ35" s="3"/>
      <c r="DA35" s="3"/>
      <c r="DB35" s="3"/>
      <c r="DC35" s="3"/>
      <c r="DD35" s="3"/>
      <c r="DE35" s="69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5"/>
      <c r="DW35" s="116" t="s">
        <v>17</v>
      </c>
      <c r="DX35" s="116"/>
      <c r="DY35" s="5">
        <v>1948</v>
      </c>
      <c r="DZ35" s="3"/>
      <c r="EA35" s="3"/>
      <c r="EB35" s="8"/>
      <c r="EC35" s="8"/>
      <c r="ED35" s="6"/>
      <c r="EE35" s="6"/>
      <c r="EF35" s="6"/>
      <c r="EG35" s="7"/>
      <c r="EH35" s="7"/>
      <c r="EI35" s="7"/>
      <c r="EJ35" s="7"/>
      <c r="EL35" s="9"/>
      <c r="EM35" s="9"/>
      <c r="EN35" s="9"/>
      <c r="EO35" s="9"/>
      <c r="EP35" s="9"/>
      <c r="EQ35" s="9"/>
      <c r="ER35" s="3"/>
      <c r="ES35" s="25"/>
      <c r="ET35" s="25"/>
      <c r="EU35" s="25"/>
      <c r="EV35" s="5"/>
      <c r="EW35" s="5"/>
      <c r="EX35" s="116" t="s">
        <v>295</v>
      </c>
      <c r="EY35" s="116"/>
      <c r="EZ35" s="5">
        <v>1956</v>
      </c>
      <c r="FA35" s="5"/>
      <c r="FB35" s="3"/>
      <c r="FC35" s="3"/>
      <c r="FD35" s="9"/>
      <c r="FE35" s="9"/>
      <c r="FF35" s="116" t="s">
        <v>296</v>
      </c>
      <c r="FG35" s="116"/>
      <c r="FH35" s="54">
        <v>1910</v>
      </c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117"/>
      <c r="FU35" s="117"/>
      <c r="FV35" s="9"/>
    </row>
    <row r="36" spans="1:178" ht="22.05" customHeight="1">
      <c r="A36" s="117"/>
      <c r="B36" s="117"/>
      <c r="D36" s="58"/>
      <c r="E36" s="9"/>
      <c r="F36" s="7"/>
      <c r="H36" s="58"/>
      <c r="I36" s="9"/>
      <c r="M36" s="58"/>
      <c r="N36" s="9"/>
      <c r="O36" s="9"/>
      <c r="P36" s="9"/>
      <c r="Q36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8"/>
      <c r="AJ36" s="8"/>
      <c r="AK36" s="6"/>
      <c r="AL36" s="1"/>
      <c r="AM36" s="1"/>
      <c r="AN36" s="1"/>
      <c r="AO36" s="2"/>
      <c r="AP36" s="2"/>
      <c r="AQ36" s="69"/>
      <c r="AR36" s="3"/>
      <c r="AS36" s="3"/>
      <c r="AT36" s="3"/>
      <c r="AU36" s="69"/>
      <c r="AV36" s="3"/>
      <c r="AW36" s="3"/>
      <c r="AX36" s="3"/>
      <c r="AY36" s="10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8"/>
      <c r="BU36" s="8"/>
      <c r="BV36" s="38"/>
      <c r="BW36" s="6"/>
      <c r="BX36" s="6"/>
      <c r="BY36" s="6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9"/>
      <c r="CK36" s="9"/>
      <c r="CL36" s="9"/>
      <c r="CM36" s="1"/>
      <c r="CN36" s="15"/>
      <c r="CO36" s="2"/>
      <c r="CP36" s="2"/>
      <c r="CQ36" s="2"/>
      <c r="CR36" s="2"/>
      <c r="CS36" s="2"/>
      <c r="CT36" s="2"/>
      <c r="CU36" s="2"/>
      <c r="CV36" s="3"/>
      <c r="CW36" s="3"/>
      <c r="CX36" s="2"/>
      <c r="CY36" s="69"/>
      <c r="CZ36" s="3"/>
      <c r="DA36" s="3"/>
      <c r="DB36" s="3"/>
      <c r="DC36" s="3"/>
      <c r="DD36" s="3"/>
      <c r="DE36" s="69"/>
      <c r="DF36" s="3"/>
      <c r="DG36" s="3"/>
      <c r="DH36" s="3"/>
      <c r="DI36" s="3"/>
      <c r="DJ36" s="3"/>
      <c r="DK36" s="3"/>
      <c r="DL36" s="3"/>
      <c r="DM36" s="16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10"/>
      <c r="DY36" s="3"/>
      <c r="DZ36" s="16"/>
      <c r="EA36" s="3"/>
      <c r="EB36" s="8"/>
      <c r="EC36" s="8"/>
      <c r="ED36" s="6"/>
      <c r="EE36" s="6"/>
      <c r="EF36" s="6"/>
      <c r="EG36" s="7"/>
      <c r="EH36" s="7"/>
      <c r="EI36" s="7"/>
      <c r="EJ36" s="7"/>
      <c r="EL36" s="9"/>
      <c r="EM36" s="9"/>
      <c r="EN36" s="55"/>
      <c r="EO36" s="55"/>
      <c r="EP36" s="55"/>
      <c r="EQ36" s="55"/>
      <c r="ER36" s="16"/>
      <c r="ES36" s="56"/>
      <c r="ET36" s="56"/>
      <c r="EU36" s="56"/>
      <c r="EV36" s="16"/>
      <c r="EW36" s="16"/>
      <c r="EX36" s="16"/>
      <c r="EY36" s="28"/>
      <c r="EZ36" s="16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/>
      <c r="FL36" s="55"/>
      <c r="FM36" s="55"/>
      <c r="FN36" s="55"/>
      <c r="FO36" s="55"/>
      <c r="FP36" s="9"/>
      <c r="FQ36" s="9"/>
      <c r="FR36" s="9"/>
      <c r="FS36" s="9"/>
      <c r="FT36" s="117"/>
      <c r="FU36" s="117"/>
    </row>
    <row r="37" spans="1:178" ht="22.05" customHeight="1">
      <c r="A37" s="122" t="s">
        <v>331</v>
      </c>
      <c r="B37" s="123"/>
      <c r="E37" s="31"/>
      <c r="F37" s="7"/>
      <c r="H37" s="3"/>
      <c r="I37" s="31"/>
      <c r="N37" s="31"/>
      <c r="O37" s="9"/>
      <c r="P37" s="9"/>
      <c r="Q37"/>
      <c r="R37" s="3"/>
      <c r="S37" s="3"/>
      <c r="T37" s="3"/>
      <c r="U37" s="3"/>
      <c r="V37" s="18"/>
      <c r="W37" s="13"/>
      <c r="X37" s="13"/>
      <c r="Y37" s="13"/>
      <c r="Z37" s="18"/>
      <c r="AA37" s="13"/>
      <c r="AB37" s="30"/>
      <c r="AC37" s="18"/>
      <c r="AD37" s="13"/>
      <c r="AE37" s="13"/>
      <c r="AF37" s="18"/>
      <c r="AG37" s="13"/>
      <c r="AH37" s="13"/>
      <c r="AI37" s="18"/>
      <c r="AJ37" s="20"/>
      <c r="AK37" s="21"/>
      <c r="AL37" s="39"/>
      <c r="AM37" s="15"/>
      <c r="AN37" s="1"/>
      <c r="AO37" s="2"/>
      <c r="AP37" s="3"/>
      <c r="AQ37" s="18"/>
      <c r="AR37" s="13"/>
      <c r="AS37" s="13"/>
      <c r="AT37" s="30"/>
      <c r="AU37" s="18"/>
      <c r="AV37" s="13"/>
      <c r="AW37" s="13"/>
      <c r="AX37" s="30"/>
      <c r="AY37" s="18"/>
      <c r="AZ37" s="13"/>
      <c r="BA37" s="13"/>
      <c r="BB37" s="13"/>
      <c r="BC37" s="18"/>
      <c r="BD37" s="13"/>
      <c r="BE37" s="13"/>
      <c r="BF37" s="30"/>
      <c r="BG37" s="10"/>
      <c r="BH37" s="83"/>
      <c r="BI37" s="3"/>
      <c r="BJ37" s="18"/>
      <c r="BK37" s="13"/>
      <c r="BL37" s="13"/>
      <c r="BM37" s="18"/>
      <c r="BN37" s="13"/>
      <c r="BO37" s="13"/>
      <c r="BP37" s="18"/>
      <c r="BQ37" s="13"/>
      <c r="BR37" s="13"/>
      <c r="BS37" s="13"/>
      <c r="BT37" s="20"/>
      <c r="BU37" s="20"/>
      <c r="BV37" s="21"/>
      <c r="BW37" s="21"/>
      <c r="BX37" s="13"/>
      <c r="BY37" s="18"/>
      <c r="BZ37" s="22"/>
      <c r="CA37" s="22"/>
      <c r="CB37" s="22"/>
      <c r="CC37" s="22"/>
      <c r="CD37" s="22"/>
      <c r="CE37" s="22"/>
      <c r="CF37" s="30"/>
      <c r="CG37" s="10"/>
      <c r="CH37" s="7"/>
      <c r="CI37" s="7"/>
      <c r="CJ37" s="9"/>
      <c r="CK37" s="9"/>
      <c r="CL37" s="9"/>
      <c r="CM37" s="2"/>
      <c r="CN37" s="17"/>
      <c r="CO37" s="2"/>
      <c r="CP37" s="2"/>
      <c r="CQ37" s="2"/>
      <c r="CR37" s="2"/>
      <c r="CS37" s="2"/>
      <c r="CT37" s="2"/>
      <c r="CU37" s="2"/>
      <c r="CV37" s="18"/>
      <c r="CW37" s="19"/>
      <c r="CX37" s="12"/>
      <c r="CY37" s="13"/>
      <c r="CZ37" s="13"/>
      <c r="DA37" s="19"/>
      <c r="DB37" s="13"/>
      <c r="DC37" s="14"/>
      <c r="DD37" s="13"/>
      <c r="DE37" s="13"/>
      <c r="DF37" s="14"/>
      <c r="DG37" s="13"/>
      <c r="DH37" s="13"/>
      <c r="DI37" s="13"/>
      <c r="DJ37" s="14"/>
      <c r="DK37" s="13"/>
      <c r="DL37" s="13"/>
      <c r="DM37" s="13"/>
      <c r="DN37" s="18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0"/>
      <c r="EA37" s="13"/>
      <c r="EB37" s="20"/>
      <c r="EC37" s="20"/>
      <c r="ED37" s="21"/>
      <c r="EE37" s="21"/>
      <c r="EF37" s="21"/>
      <c r="EG37" s="22"/>
      <c r="EH37" s="22"/>
      <c r="EI37" s="23"/>
      <c r="EJ37" s="7"/>
      <c r="EL37" s="9"/>
      <c r="EM37" s="9"/>
      <c r="EN37" s="57"/>
      <c r="EO37" s="9"/>
      <c r="EP37" s="9"/>
      <c r="EQ37" s="9"/>
      <c r="ER37" s="57"/>
      <c r="ES37" s="9"/>
      <c r="ET37" s="9"/>
      <c r="EU37" s="9"/>
      <c r="EV37" s="57"/>
      <c r="EW37" s="9"/>
      <c r="EX37" s="9"/>
      <c r="EY37" s="57"/>
      <c r="EZ37" s="3"/>
      <c r="FA37" s="9"/>
      <c r="FB37" s="9"/>
      <c r="FC37" s="57"/>
      <c r="FD37" s="3"/>
      <c r="FE37" s="9"/>
      <c r="FF37" s="9"/>
      <c r="FG37" s="57"/>
      <c r="FH37" s="3"/>
      <c r="FI37" s="9"/>
      <c r="FJ37" s="9"/>
      <c r="FK37" s="57"/>
      <c r="FL37" s="3"/>
      <c r="FM37" s="9"/>
      <c r="FN37" s="9"/>
      <c r="FO37" s="9"/>
      <c r="FP37" s="31"/>
      <c r="FQ37" s="3"/>
      <c r="FR37" s="9"/>
      <c r="FS37" s="9"/>
      <c r="FT37" s="122" t="s">
        <v>331</v>
      </c>
      <c r="FU37" s="123"/>
    </row>
    <row r="38" spans="1:178" ht="22.05" customHeight="1">
      <c r="A38" s="124"/>
      <c r="B38" s="125"/>
      <c r="D38" s="116" t="s">
        <v>312</v>
      </c>
      <c r="E38" s="116"/>
      <c r="F38" s="54">
        <v>1925</v>
      </c>
      <c r="H38" s="116" t="s">
        <v>312</v>
      </c>
      <c r="I38" s="116"/>
      <c r="J38" s="54">
        <f>1911+16</f>
        <v>1927</v>
      </c>
      <c r="M38" s="116" t="s">
        <v>312</v>
      </c>
      <c r="N38" s="116"/>
      <c r="O38" s="54">
        <f>1911+15</f>
        <v>1926</v>
      </c>
      <c r="P38" s="9"/>
      <c r="Q38"/>
      <c r="R38" s="3"/>
      <c r="S38" s="3"/>
      <c r="T38" s="3"/>
      <c r="U38" s="116" t="s">
        <v>1</v>
      </c>
      <c r="V38" s="116"/>
      <c r="W38" s="3"/>
      <c r="X38" s="3"/>
      <c r="Y38" s="116" t="s">
        <v>1</v>
      </c>
      <c r="Z38" s="116"/>
      <c r="AA38" s="3"/>
      <c r="AB38" s="116" t="s">
        <v>1</v>
      </c>
      <c r="AC38" s="116"/>
      <c r="AD38" s="3"/>
      <c r="AE38" s="116" t="s">
        <v>1</v>
      </c>
      <c r="AF38" s="116"/>
      <c r="AG38" s="3"/>
      <c r="AH38" s="116" t="s">
        <v>1</v>
      </c>
      <c r="AI38" s="116"/>
      <c r="AJ38" s="8"/>
      <c r="AK38" s="2"/>
      <c r="AL38" s="116" t="s">
        <v>1</v>
      </c>
      <c r="AM38" s="116"/>
      <c r="AN38" s="3"/>
      <c r="AO38" s="2"/>
      <c r="AP38" s="116" t="s">
        <v>1</v>
      </c>
      <c r="AQ38" s="116"/>
      <c r="AR38" s="3"/>
      <c r="AS38" s="3"/>
      <c r="AT38" s="116" t="s">
        <v>1</v>
      </c>
      <c r="AU38" s="116"/>
      <c r="AV38" s="3"/>
      <c r="AW38" s="3"/>
      <c r="AX38" s="116" t="s">
        <v>1</v>
      </c>
      <c r="AY38" s="116"/>
      <c r="AZ38" s="3"/>
      <c r="BA38" s="3"/>
      <c r="BB38" s="116" t="s">
        <v>1</v>
      </c>
      <c r="BC38" s="116"/>
      <c r="BD38" s="3"/>
      <c r="BE38" s="3"/>
      <c r="BF38" s="116" t="s">
        <v>1</v>
      </c>
      <c r="BG38" s="116"/>
      <c r="BH38" s="69"/>
      <c r="BI38" s="116" t="s">
        <v>1</v>
      </c>
      <c r="BJ38" s="116"/>
      <c r="BK38" s="87">
        <v>1951</v>
      </c>
      <c r="BL38" s="116" t="s">
        <v>1</v>
      </c>
      <c r="BM38" s="116"/>
      <c r="BN38" s="80">
        <v>1949</v>
      </c>
      <c r="BO38" s="116" t="s">
        <v>1</v>
      </c>
      <c r="BP38" s="116"/>
      <c r="BQ38" s="80">
        <v>1946</v>
      </c>
      <c r="BR38" s="3"/>
      <c r="BS38" s="3"/>
      <c r="BT38" s="8"/>
      <c r="BU38" s="8"/>
      <c r="BV38" s="6"/>
      <c r="BW38" s="6"/>
      <c r="BX38" s="116" t="s">
        <v>1</v>
      </c>
      <c r="BY38" s="116"/>
      <c r="BZ38" s="80">
        <v>1925</v>
      </c>
      <c r="CA38" s="7"/>
      <c r="CB38" s="7"/>
      <c r="CC38" s="7"/>
      <c r="CD38" s="7"/>
      <c r="CE38" s="7"/>
      <c r="CF38" s="116" t="s">
        <v>1</v>
      </c>
      <c r="CG38" s="116"/>
      <c r="CH38" s="80">
        <v>1922</v>
      </c>
      <c r="CI38" s="7"/>
      <c r="CJ38" s="9"/>
      <c r="CK38" s="9"/>
      <c r="CL38" s="9"/>
      <c r="CM38" s="116" t="s">
        <v>1</v>
      </c>
      <c r="CN38" s="116"/>
      <c r="CO38" s="2"/>
      <c r="CP38" s="2"/>
      <c r="CQ38" s="2"/>
      <c r="CR38" s="2"/>
      <c r="CS38" s="2"/>
      <c r="CT38" s="5"/>
      <c r="CU38" s="116" t="s">
        <v>1</v>
      </c>
      <c r="CV38" s="116"/>
      <c r="CW38" s="5">
        <v>1917</v>
      </c>
      <c r="CX38" s="2"/>
      <c r="CY38" s="3"/>
      <c r="CZ38" s="3"/>
      <c r="DA38" s="9"/>
      <c r="DB38" s="69"/>
      <c r="DC38" s="69"/>
      <c r="DD38" s="3"/>
      <c r="DE38" s="69"/>
      <c r="DF38" s="69"/>
      <c r="DG38" s="3"/>
      <c r="DH38" s="3"/>
      <c r="DI38" s="69"/>
      <c r="DJ38" s="69"/>
      <c r="DK38" s="3"/>
      <c r="DL38" s="5"/>
      <c r="DM38" s="116" t="s">
        <v>1</v>
      </c>
      <c r="DN38" s="116"/>
      <c r="DO38" s="54">
        <v>1910</v>
      </c>
      <c r="DP38" s="3"/>
      <c r="DQ38" s="3"/>
      <c r="DR38" s="3"/>
      <c r="DS38" s="3"/>
      <c r="DT38" s="3"/>
      <c r="DU38" s="3"/>
      <c r="DV38" s="3"/>
      <c r="DW38" s="3"/>
      <c r="DX38" s="5"/>
      <c r="DY38" s="116" t="s">
        <v>1</v>
      </c>
      <c r="DZ38" s="116"/>
      <c r="EA38" s="54">
        <v>1906</v>
      </c>
      <c r="EB38" s="8"/>
      <c r="EC38" s="8"/>
      <c r="ED38" s="6"/>
      <c r="EE38" s="6"/>
      <c r="EF38" s="6"/>
      <c r="EG38" s="5"/>
      <c r="EH38" s="116" t="s">
        <v>1</v>
      </c>
      <c r="EI38" s="116"/>
      <c r="EJ38" s="54">
        <v>1899</v>
      </c>
      <c r="EL38" s="3"/>
      <c r="EM38" s="116" t="s">
        <v>312</v>
      </c>
      <c r="EN38" s="116"/>
      <c r="EO38" s="54">
        <v>1938</v>
      </c>
      <c r="EP38" s="3"/>
      <c r="EQ38" s="116" t="s">
        <v>312</v>
      </c>
      <c r="ER38" s="116"/>
      <c r="ES38" s="54">
        <f>22+1911</f>
        <v>1933</v>
      </c>
      <c r="ET38" s="3"/>
      <c r="EU38" s="116" t="s">
        <v>312</v>
      </c>
      <c r="EV38" s="116"/>
      <c r="EW38" s="69"/>
      <c r="EX38" s="116" t="s">
        <v>312</v>
      </c>
      <c r="EY38" s="116"/>
      <c r="EZ38" s="54">
        <f>14+1911</f>
        <v>1925</v>
      </c>
      <c r="FA38" s="3"/>
      <c r="FB38" s="116" t="s">
        <v>312</v>
      </c>
      <c r="FC38" s="116"/>
      <c r="FD38" s="54">
        <f>1911+11</f>
        <v>1922</v>
      </c>
      <c r="FE38" s="3"/>
      <c r="FF38" s="116" t="s">
        <v>312</v>
      </c>
      <c r="FG38" s="116"/>
      <c r="FH38" s="54">
        <f>1911+8</f>
        <v>1919</v>
      </c>
      <c r="FI38" s="3"/>
      <c r="FJ38" s="116" t="s">
        <v>312</v>
      </c>
      <c r="FK38" s="116"/>
      <c r="FL38" s="54">
        <f>1911+5</f>
        <v>1916</v>
      </c>
      <c r="FM38" s="3"/>
      <c r="FN38" s="9"/>
      <c r="FO38" s="116" t="s">
        <v>312</v>
      </c>
      <c r="FP38" s="116"/>
      <c r="FQ38" s="54">
        <f>1912</f>
        <v>1912</v>
      </c>
      <c r="FR38" s="3"/>
      <c r="FS38" s="3"/>
      <c r="FT38" s="124"/>
      <c r="FU38" s="125"/>
    </row>
    <row r="39" spans="1:178" ht="22.05" customHeight="1">
      <c r="A39" s="124"/>
      <c r="B39" s="125"/>
      <c r="D39" s="116" t="s">
        <v>220</v>
      </c>
      <c r="E39" s="116"/>
      <c r="F39" s="7"/>
      <c r="H39" s="116" t="s">
        <v>296</v>
      </c>
      <c r="I39" s="116"/>
      <c r="M39" s="116" t="s">
        <v>320</v>
      </c>
      <c r="N39" s="116"/>
      <c r="O39" s="9"/>
      <c r="P39" s="9"/>
      <c r="Q39"/>
      <c r="R39" s="3"/>
      <c r="S39" s="3"/>
      <c r="T39" s="3"/>
      <c r="U39" s="116" t="s">
        <v>124</v>
      </c>
      <c r="V39" s="116"/>
      <c r="W39" s="3"/>
      <c r="X39" s="3"/>
      <c r="Y39" s="116" t="s">
        <v>125</v>
      </c>
      <c r="Z39" s="116"/>
      <c r="AA39" s="3"/>
      <c r="AB39" s="116" t="s">
        <v>126</v>
      </c>
      <c r="AC39" s="116"/>
      <c r="AD39" s="3"/>
      <c r="AE39" s="116" t="s">
        <v>127</v>
      </c>
      <c r="AF39" s="116"/>
      <c r="AG39" s="3"/>
      <c r="AH39" s="116" t="s">
        <v>128</v>
      </c>
      <c r="AI39" s="116"/>
      <c r="AJ39" s="8"/>
      <c r="AK39" s="2"/>
      <c r="AL39" s="116" t="s">
        <v>129</v>
      </c>
      <c r="AM39" s="116"/>
      <c r="AN39" s="69"/>
      <c r="AO39" s="2"/>
      <c r="AP39" s="116" t="s">
        <v>75</v>
      </c>
      <c r="AQ39" s="116"/>
      <c r="AR39" s="69"/>
      <c r="AS39" s="3"/>
      <c r="AT39" s="116" t="s">
        <v>130</v>
      </c>
      <c r="AU39" s="116"/>
      <c r="AV39" s="3"/>
      <c r="AW39" s="3"/>
      <c r="AX39" s="116" t="s">
        <v>41</v>
      </c>
      <c r="AY39" s="116"/>
      <c r="AZ39" s="3"/>
      <c r="BA39" s="3"/>
      <c r="BB39" s="116" t="s">
        <v>131</v>
      </c>
      <c r="BC39" s="116"/>
      <c r="BD39" s="3"/>
      <c r="BE39" s="3"/>
      <c r="BF39" s="116" t="s">
        <v>131</v>
      </c>
      <c r="BG39" s="116"/>
      <c r="BH39" s="69"/>
      <c r="BI39" s="116" t="s">
        <v>130</v>
      </c>
      <c r="BJ39" s="116"/>
      <c r="BK39" s="87" t="s">
        <v>4</v>
      </c>
      <c r="BL39" s="116" t="s">
        <v>130</v>
      </c>
      <c r="BM39" s="116"/>
      <c r="BN39" s="3"/>
      <c r="BO39" s="116" t="s">
        <v>130</v>
      </c>
      <c r="BP39" s="116"/>
      <c r="BQ39" s="3"/>
      <c r="BR39" s="3"/>
      <c r="BS39" s="3"/>
      <c r="BT39" s="8"/>
      <c r="BU39" s="8"/>
      <c r="BV39" s="6"/>
      <c r="BW39" s="6"/>
      <c r="BX39" s="116" t="s">
        <v>132</v>
      </c>
      <c r="BY39" s="116"/>
      <c r="BZ39" s="80" t="s">
        <v>4</v>
      </c>
      <c r="CA39" s="7"/>
      <c r="CB39" s="7"/>
      <c r="CC39" s="7"/>
      <c r="CD39" s="7"/>
      <c r="CE39" s="7"/>
      <c r="CF39" s="116"/>
      <c r="CG39" s="116"/>
      <c r="CH39" s="80" t="s">
        <v>4</v>
      </c>
      <c r="CI39" s="7"/>
      <c r="CJ39" s="9"/>
      <c r="CK39" s="9"/>
      <c r="CL39" s="9"/>
      <c r="CM39" s="116" t="s">
        <v>19</v>
      </c>
      <c r="CN39" s="116"/>
      <c r="CO39" s="2"/>
      <c r="CP39" s="2"/>
      <c r="CQ39" s="2"/>
      <c r="CR39" s="2"/>
      <c r="CS39" s="2"/>
      <c r="CT39" s="5"/>
      <c r="CU39" s="3"/>
      <c r="CV39" s="3"/>
      <c r="CW39" s="5" t="s">
        <v>4</v>
      </c>
      <c r="CX39" s="2"/>
      <c r="CY39" s="3"/>
      <c r="CZ39" s="3"/>
      <c r="DA39" s="9"/>
      <c r="DB39" s="3"/>
      <c r="DC39" s="69"/>
      <c r="DD39" s="3"/>
      <c r="DE39" s="3"/>
      <c r="DF39" s="69"/>
      <c r="DG39" s="3"/>
      <c r="DH39" s="3"/>
      <c r="DI39" s="3"/>
      <c r="DJ39" s="69"/>
      <c r="DK39" s="3"/>
      <c r="DL39" s="5"/>
      <c r="DM39" s="3"/>
      <c r="DN39" s="3"/>
      <c r="DO39" s="54" t="s">
        <v>4</v>
      </c>
      <c r="DP39" s="3"/>
      <c r="DQ39" s="69"/>
      <c r="DR39" s="3"/>
      <c r="DS39" s="3"/>
      <c r="DT39" s="3"/>
      <c r="DU39" s="3"/>
      <c r="DV39" s="3"/>
      <c r="DW39" s="3"/>
      <c r="DX39" s="5"/>
      <c r="DY39" s="116" t="s">
        <v>22</v>
      </c>
      <c r="DZ39" s="116"/>
      <c r="EA39" s="54" t="s">
        <v>4</v>
      </c>
      <c r="EB39" s="8"/>
      <c r="EC39" s="8"/>
      <c r="ED39" s="6"/>
      <c r="EE39" s="6"/>
      <c r="EF39" s="6"/>
      <c r="EG39" s="5"/>
      <c r="EH39" s="116" t="s">
        <v>23</v>
      </c>
      <c r="EI39" s="116"/>
      <c r="EJ39" s="54" t="s">
        <v>4</v>
      </c>
      <c r="EL39" s="3"/>
      <c r="EM39" s="116" t="s">
        <v>297</v>
      </c>
      <c r="EN39" s="116"/>
      <c r="EO39" s="54" t="s">
        <v>4</v>
      </c>
      <c r="EP39" s="3"/>
      <c r="EQ39" s="116" t="s">
        <v>76</v>
      </c>
      <c r="ER39" s="116"/>
      <c r="ES39" s="54" t="s">
        <v>4</v>
      </c>
      <c r="ET39" s="3"/>
      <c r="EU39" s="116" t="s">
        <v>76</v>
      </c>
      <c r="EV39" s="116"/>
      <c r="EW39" s="69"/>
      <c r="EX39" s="116" t="s">
        <v>76</v>
      </c>
      <c r="EY39" s="116"/>
      <c r="EZ39" s="54" t="s">
        <v>4</v>
      </c>
      <c r="FA39" s="3"/>
      <c r="FB39" s="116" t="s">
        <v>76</v>
      </c>
      <c r="FC39" s="116"/>
      <c r="FD39" s="54" t="s">
        <v>4</v>
      </c>
      <c r="FE39" s="3"/>
      <c r="FF39" s="116" t="s">
        <v>76</v>
      </c>
      <c r="FG39" s="116"/>
      <c r="FH39" s="54" t="s">
        <v>4</v>
      </c>
      <c r="FI39" s="3"/>
      <c r="FJ39" s="116" t="s">
        <v>298</v>
      </c>
      <c r="FK39" s="116"/>
      <c r="FL39" s="54" t="s">
        <v>4</v>
      </c>
      <c r="FM39" s="3"/>
      <c r="FN39" s="9"/>
      <c r="FO39" s="116" t="s">
        <v>76</v>
      </c>
      <c r="FP39" s="116"/>
      <c r="FQ39" s="54" t="s">
        <v>4</v>
      </c>
      <c r="FR39" s="3"/>
      <c r="FS39" s="3"/>
      <c r="FT39" s="124"/>
      <c r="FU39" s="125"/>
    </row>
    <row r="40" spans="1:178" ht="22.05" customHeight="1">
      <c r="A40" s="124"/>
      <c r="B40" s="125"/>
      <c r="D40" s="116" t="s">
        <v>358</v>
      </c>
      <c r="E40" s="116"/>
      <c r="F40" s="7"/>
      <c r="H40" s="116" t="s">
        <v>321</v>
      </c>
      <c r="I40" s="116"/>
      <c r="M40" s="116" t="s">
        <v>357</v>
      </c>
      <c r="N40" s="116"/>
      <c r="O40" s="9"/>
      <c r="P40" s="9"/>
      <c r="Q40"/>
      <c r="R40" s="3"/>
      <c r="S40" s="3"/>
      <c r="T40" s="3"/>
      <c r="U40" s="116" t="s">
        <v>133</v>
      </c>
      <c r="V40" s="116"/>
      <c r="W40" s="3"/>
      <c r="X40" s="3"/>
      <c r="Y40" s="116" t="s">
        <v>134</v>
      </c>
      <c r="Z40" s="116"/>
      <c r="AA40" s="3"/>
      <c r="AB40" s="116" t="s">
        <v>135</v>
      </c>
      <c r="AC40" s="116"/>
      <c r="AD40" s="3"/>
      <c r="AE40" s="116" t="s">
        <v>136</v>
      </c>
      <c r="AF40" s="116"/>
      <c r="AG40" s="3"/>
      <c r="AH40" s="116" t="s">
        <v>137</v>
      </c>
      <c r="AI40" s="116"/>
      <c r="AJ40" s="8"/>
      <c r="AK40" s="2"/>
      <c r="AL40" s="116" t="s">
        <v>138</v>
      </c>
      <c r="AM40" s="116"/>
      <c r="AN40" s="69"/>
      <c r="AO40" s="2"/>
      <c r="AP40" s="116" t="s">
        <v>139</v>
      </c>
      <c r="AQ40" s="116"/>
      <c r="AR40" s="69"/>
      <c r="AS40" s="3"/>
      <c r="AT40" s="116" t="s">
        <v>12</v>
      </c>
      <c r="AU40" s="116"/>
      <c r="AV40" s="3"/>
      <c r="AW40" s="3"/>
      <c r="AX40" s="116" t="s">
        <v>140</v>
      </c>
      <c r="AY40" s="116"/>
      <c r="AZ40" s="3"/>
      <c r="BA40" s="3"/>
      <c r="BB40" s="116" t="s">
        <v>141</v>
      </c>
      <c r="BC40" s="116"/>
      <c r="BD40" s="3"/>
      <c r="BE40" s="3"/>
      <c r="BF40" s="116" t="s">
        <v>142</v>
      </c>
      <c r="BG40" s="116"/>
      <c r="BH40" s="69"/>
      <c r="BI40" s="116" t="s">
        <v>143</v>
      </c>
      <c r="BJ40" s="116"/>
      <c r="BK40" s="87">
        <v>1973</v>
      </c>
      <c r="BL40" s="116" t="s">
        <v>144</v>
      </c>
      <c r="BM40" s="116"/>
      <c r="BN40" s="3"/>
      <c r="BO40" s="116" t="s">
        <v>43</v>
      </c>
      <c r="BP40" s="116"/>
      <c r="BQ40" s="3"/>
      <c r="BR40" s="3"/>
      <c r="BS40" s="3"/>
      <c r="BT40" s="8"/>
      <c r="BU40" s="8"/>
      <c r="BV40" s="26"/>
      <c r="BW40" s="26"/>
      <c r="BX40" s="116" t="s">
        <v>145</v>
      </c>
      <c r="BY40" s="116"/>
      <c r="BZ40" s="80">
        <v>2014</v>
      </c>
      <c r="CA40" s="27"/>
      <c r="CB40" s="27"/>
      <c r="CC40" s="27"/>
      <c r="CD40" s="27"/>
      <c r="CE40" s="27"/>
      <c r="CF40" s="116" t="s">
        <v>146</v>
      </c>
      <c r="CG40" s="116"/>
      <c r="CH40" s="80">
        <v>1988</v>
      </c>
      <c r="CI40" s="27"/>
      <c r="CJ40" s="25"/>
      <c r="CK40" s="25"/>
      <c r="CL40" s="25"/>
      <c r="CM40" s="116" t="s">
        <v>24</v>
      </c>
      <c r="CN40" s="116"/>
      <c r="CO40" s="2"/>
      <c r="CP40" s="2"/>
      <c r="CQ40" s="2"/>
      <c r="CR40" s="2"/>
      <c r="CS40" s="2"/>
      <c r="CT40" s="5"/>
      <c r="CU40" s="116" t="s">
        <v>26</v>
      </c>
      <c r="CV40" s="116"/>
      <c r="CW40" s="5">
        <v>2004</v>
      </c>
      <c r="CX40" s="2"/>
      <c r="CY40" s="3"/>
      <c r="CZ40" s="3"/>
      <c r="DA40" s="25"/>
      <c r="DB40" s="3"/>
      <c r="DC40" s="69"/>
      <c r="DD40" s="3"/>
      <c r="DE40" s="3"/>
      <c r="DF40" s="69"/>
      <c r="DG40" s="3"/>
      <c r="DH40" s="3"/>
      <c r="DI40" s="3"/>
      <c r="DJ40" s="69"/>
      <c r="DK40" s="3"/>
      <c r="DL40" s="5"/>
      <c r="DM40" s="116" t="s">
        <v>28</v>
      </c>
      <c r="DN40" s="116"/>
      <c r="DO40" s="54">
        <v>1997</v>
      </c>
      <c r="DP40" s="3"/>
      <c r="DQ40" s="3"/>
      <c r="DR40" s="3"/>
      <c r="DS40" s="3"/>
      <c r="DT40" s="3"/>
      <c r="DU40" s="3"/>
      <c r="DV40" s="3"/>
      <c r="DW40" s="3"/>
      <c r="DX40" s="5"/>
      <c r="DY40" s="116" t="s">
        <v>30</v>
      </c>
      <c r="DZ40" s="116"/>
      <c r="EA40" s="54">
        <v>1995</v>
      </c>
      <c r="EB40" s="8"/>
      <c r="EC40" s="8"/>
      <c r="ED40" s="26"/>
      <c r="EE40" s="26"/>
      <c r="EF40" s="26"/>
      <c r="EG40" s="5"/>
      <c r="EH40" s="116" t="s">
        <v>32</v>
      </c>
      <c r="EI40" s="116"/>
      <c r="EJ40" s="54">
        <v>1940</v>
      </c>
      <c r="EL40" s="9"/>
      <c r="EM40" s="116" t="s">
        <v>299</v>
      </c>
      <c r="EN40" s="116"/>
      <c r="EO40" s="54">
        <f>89+1911</f>
        <v>2000</v>
      </c>
      <c r="EP40" s="9"/>
      <c r="EQ40" s="116" t="s">
        <v>300</v>
      </c>
      <c r="ER40" s="116"/>
      <c r="ES40" s="54">
        <f>69+1911</f>
        <v>1980</v>
      </c>
      <c r="ET40" s="3"/>
      <c r="EU40" s="116" t="s">
        <v>114</v>
      </c>
      <c r="EV40" s="116"/>
      <c r="EW40" s="69"/>
      <c r="EX40" s="116" t="s">
        <v>91</v>
      </c>
      <c r="EY40" s="116"/>
      <c r="EZ40" s="54">
        <f>46+1911</f>
        <v>1957</v>
      </c>
      <c r="FA40" s="3"/>
      <c r="FB40" s="116" t="s">
        <v>182</v>
      </c>
      <c r="FC40" s="116"/>
      <c r="FD40" s="54">
        <f>1911+42</f>
        <v>1953</v>
      </c>
      <c r="FE40" s="3"/>
      <c r="FF40" s="116" t="s">
        <v>301</v>
      </c>
      <c r="FG40" s="116"/>
      <c r="FH40" s="54">
        <f>1911+89</f>
        <v>2000</v>
      </c>
      <c r="FI40" s="3"/>
      <c r="FJ40" s="116" t="s">
        <v>302</v>
      </c>
      <c r="FK40" s="116"/>
      <c r="FL40" s="54"/>
      <c r="FM40" s="3"/>
      <c r="FN40" s="9"/>
      <c r="FO40" s="116" t="s">
        <v>232</v>
      </c>
      <c r="FP40" s="116"/>
      <c r="FQ40" s="54">
        <v>1965</v>
      </c>
      <c r="FR40" s="3"/>
      <c r="FS40" s="3"/>
      <c r="FT40" s="124"/>
      <c r="FU40" s="125"/>
    </row>
    <row r="41" spans="1:178" ht="22.05" customHeight="1">
      <c r="A41" s="126"/>
      <c r="B41" s="127"/>
      <c r="D41" s="58"/>
      <c r="E41" s="9"/>
      <c r="F41" s="7"/>
      <c r="H41" s="58"/>
      <c r="I41" s="9"/>
      <c r="M41" s="58"/>
      <c r="N41" s="9"/>
      <c r="O41" s="9"/>
      <c r="P41" s="9"/>
      <c r="Q41"/>
      <c r="R41" s="3"/>
      <c r="S41" s="3"/>
      <c r="T41" s="3"/>
      <c r="U41" s="3"/>
      <c r="V41" s="10"/>
      <c r="W41" s="3"/>
      <c r="X41" s="3"/>
      <c r="Y41" s="3"/>
      <c r="Z41" s="10"/>
      <c r="AA41" s="3"/>
      <c r="AB41" s="9"/>
      <c r="AC41" s="31"/>
      <c r="AD41" s="3"/>
      <c r="AE41" s="3"/>
      <c r="AF41" s="10"/>
      <c r="AG41" s="3"/>
      <c r="AH41" s="9"/>
      <c r="AI41" s="31"/>
      <c r="AJ41" s="8"/>
      <c r="AK41" s="3"/>
      <c r="AL41" s="3"/>
      <c r="AM41" s="10"/>
      <c r="AN41" s="3"/>
      <c r="AO41" s="3"/>
      <c r="AP41" s="3"/>
      <c r="AQ41" s="10"/>
      <c r="AR41" s="3"/>
      <c r="AS41" s="3"/>
      <c r="AT41" s="3"/>
      <c r="AU41" s="10"/>
      <c r="AV41" s="3"/>
      <c r="AW41" s="3"/>
      <c r="AX41" s="3"/>
      <c r="AY41" s="10"/>
      <c r="AZ41" s="3"/>
      <c r="BA41" s="3"/>
      <c r="BB41" s="3"/>
      <c r="BC41" s="10"/>
      <c r="BD41" s="3"/>
      <c r="BE41" s="3"/>
      <c r="BF41" s="9"/>
      <c r="BG41" s="31"/>
      <c r="BH41" s="65"/>
      <c r="BI41" s="3"/>
      <c r="BJ41" s="3"/>
      <c r="BK41" s="3"/>
      <c r="BL41" s="9"/>
      <c r="BM41" s="31"/>
      <c r="BN41" s="3"/>
      <c r="BO41" s="3"/>
      <c r="BP41" s="10"/>
      <c r="BQ41" s="3"/>
      <c r="BR41" s="3"/>
      <c r="BS41" s="3"/>
      <c r="BT41" s="8"/>
      <c r="BU41" s="8"/>
      <c r="BV41" s="26"/>
      <c r="BW41" s="26"/>
      <c r="BX41" s="26"/>
      <c r="BY41" s="40"/>
      <c r="BZ41" s="27"/>
      <c r="CA41" s="27"/>
      <c r="CB41" s="27"/>
      <c r="CC41" s="27"/>
      <c r="CD41" s="27"/>
      <c r="CE41" s="27"/>
      <c r="CF41" s="27"/>
      <c r="CG41" s="41"/>
      <c r="CH41" s="27"/>
      <c r="CI41" s="27"/>
      <c r="CJ41" s="25"/>
      <c r="CK41" s="25"/>
      <c r="CL41" s="25"/>
      <c r="CM41" s="116" t="s">
        <v>33</v>
      </c>
      <c r="CN41" s="116"/>
      <c r="CO41" s="2"/>
      <c r="CP41" s="2"/>
      <c r="CQ41" s="2"/>
      <c r="CR41" s="2"/>
      <c r="CS41" s="2"/>
      <c r="CT41" s="3"/>
      <c r="CU41" s="3"/>
      <c r="CV41" s="10"/>
      <c r="CW41" s="3"/>
      <c r="CX41" s="2"/>
      <c r="CY41" s="3"/>
      <c r="CZ41" s="3"/>
      <c r="DA41" s="25"/>
      <c r="DB41" s="3"/>
      <c r="DC41" s="69"/>
      <c r="DD41" s="3"/>
      <c r="DE41" s="3"/>
      <c r="DF41" s="69"/>
      <c r="DG41" s="3"/>
      <c r="DH41" s="3"/>
      <c r="DI41" s="3"/>
      <c r="DJ41" s="69"/>
      <c r="DK41" s="3"/>
      <c r="DL41" s="3"/>
      <c r="DM41" s="3"/>
      <c r="DN41" s="10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28"/>
      <c r="EA41" s="3"/>
      <c r="EB41" s="8"/>
      <c r="EC41" s="8"/>
      <c r="ED41" s="26"/>
      <c r="EE41" s="26"/>
      <c r="EF41" s="26"/>
      <c r="EG41" s="3"/>
      <c r="EH41" s="3"/>
      <c r="EI41" s="10"/>
      <c r="EJ41" s="3"/>
      <c r="EL41" s="9"/>
      <c r="EM41" s="58"/>
      <c r="EN41" s="9"/>
      <c r="EO41" s="9"/>
      <c r="EP41" s="9"/>
      <c r="EQ41" s="58"/>
      <c r="ER41" s="31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9"/>
      <c r="FF41" s="58"/>
      <c r="FG41" s="9"/>
      <c r="FH41" s="9"/>
      <c r="FI41" s="3"/>
      <c r="FJ41" s="3"/>
      <c r="FK41" s="3"/>
      <c r="FL41" s="3"/>
      <c r="FM41" s="9"/>
      <c r="FN41" s="55"/>
      <c r="FO41" s="55"/>
      <c r="FP41" s="59"/>
      <c r="FQ41" s="55"/>
      <c r="FR41" s="83"/>
      <c r="FS41" s="53"/>
      <c r="FT41" s="126"/>
      <c r="FU41" s="127"/>
    </row>
    <row r="42" spans="1:178" ht="22.05" customHeight="1">
      <c r="A42" s="117" t="s">
        <v>332</v>
      </c>
      <c r="B42" s="117"/>
      <c r="E42" s="31"/>
      <c r="F42" s="7"/>
      <c r="H42" s="3"/>
      <c r="I42" s="31"/>
      <c r="N42" s="31"/>
      <c r="O42" s="9"/>
      <c r="P42" s="9"/>
      <c r="Q42"/>
      <c r="R42" s="3"/>
      <c r="S42" s="3"/>
      <c r="T42" s="18"/>
      <c r="U42" s="13"/>
      <c r="V42" s="13"/>
      <c r="W42" s="10"/>
      <c r="X42" s="3"/>
      <c r="Y42" s="18"/>
      <c r="Z42" s="13"/>
      <c r="AA42" s="10"/>
      <c r="AB42" s="6"/>
      <c r="AC42" s="10"/>
      <c r="AD42" s="3"/>
      <c r="AE42" s="18"/>
      <c r="AF42" s="13"/>
      <c r="AG42" s="10"/>
      <c r="AH42" s="6"/>
      <c r="AI42" s="10"/>
      <c r="AJ42" s="8"/>
      <c r="AK42" s="3"/>
      <c r="AL42" s="18"/>
      <c r="AM42" s="13"/>
      <c r="AN42" s="10"/>
      <c r="AO42" s="3"/>
      <c r="AP42" s="18"/>
      <c r="AQ42" s="13"/>
      <c r="AR42" s="10"/>
      <c r="AS42" s="3"/>
      <c r="AT42" s="18"/>
      <c r="AU42" s="13"/>
      <c r="AV42" s="10"/>
      <c r="AW42" s="3"/>
      <c r="AX42" s="18"/>
      <c r="AY42" s="13"/>
      <c r="AZ42" s="10"/>
      <c r="BA42" s="3"/>
      <c r="BB42" s="18"/>
      <c r="BC42" s="13"/>
      <c r="BD42" s="10"/>
      <c r="BE42" s="3"/>
      <c r="BF42" s="6"/>
      <c r="BG42" s="10"/>
      <c r="BH42" s="83"/>
      <c r="BI42" s="3"/>
      <c r="BJ42" s="3"/>
      <c r="BK42" s="3"/>
      <c r="BL42" s="6"/>
      <c r="BM42" s="10"/>
      <c r="BN42" s="3"/>
      <c r="BO42" s="18"/>
      <c r="BP42" s="13"/>
      <c r="BQ42" s="10"/>
      <c r="BR42" s="3"/>
      <c r="BS42" s="3"/>
      <c r="BT42" s="8"/>
      <c r="BU42" s="42"/>
      <c r="BV42" s="21"/>
      <c r="BW42" s="21"/>
      <c r="BX42" s="20"/>
      <c r="BY42" s="42"/>
      <c r="BZ42" s="22"/>
      <c r="CA42" s="43"/>
      <c r="CB42" s="44"/>
      <c r="CC42" s="7"/>
      <c r="CD42" s="7"/>
      <c r="CE42" s="45"/>
      <c r="CF42" s="13"/>
      <c r="CG42" s="18"/>
      <c r="CH42" s="46"/>
      <c r="CI42" s="47"/>
      <c r="CJ42" s="9"/>
      <c r="CK42" s="9"/>
      <c r="CL42" s="9"/>
      <c r="CM42" s="116" t="s">
        <v>35</v>
      </c>
      <c r="CN42" s="116"/>
      <c r="CO42" s="2"/>
      <c r="CP42" s="2"/>
      <c r="CQ42" s="29"/>
      <c r="CR42" s="12"/>
      <c r="CS42" s="12"/>
      <c r="CT42" s="29"/>
      <c r="CU42" s="12"/>
      <c r="CV42" s="13"/>
      <c r="CW42" s="19"/>
      <c r="CX42" s="29"/>
      <c r="CY42" s="13"/>
      <c r="CZ42" s="30"/>
      <c r="DA42" s="31"/>
      <c r="DB42" s="3"/>
      <c r="DC42" s="69"/>
      <c r="DD42" s="3"/>
      <c r="DE42" s="3"/>
      <c r="DF42" s="69"/>
      <c r="DG42" s="18"/>
      <c r="DH42" s="13"/>
      <c r="DI42" s="13"/>
      <c r="DJ42" s="14"/>
      <c r="DK42" s="13"/>
      <c r="DL42" s="13"/>
      <c r="DM42" s="14"/>
      <c r="DN42" s="18"/>
      <c r="DO42" s="13"/>
      <c r="DP42" s="13"/>
      <c r="DQ42" s="13"/>
      <c r="DR42" s="30"/>
      <c r="DS42" s="10"/>
      <c r="DT42" s="3"/>
      <c r="DU42" s="32"/>
      <c r="DV42" s="18"/>
      <c r="DW42" s="33"/>
      <c r="DX42" s="18"/>
      <c r="DY42" s="33"/>
      <c r="DZ42" s="18"/>
      <c r="EA42" s="33"/>
      <c r="EB42" s="18"/>
      <c r="EC42" s="33"/>
      <c r="ED42" s="10"/>
      <c r="EE42" s="6"/>
      <c r="EF42" s="6"/>
      <c r="EG42" s="3"/>
      <c r="EH42" s="18"/>
      <c r="EI42" s="13"/>
      <c r="EJ42" s="10"/>
      <c r="EL42" s="58"/>
      <c r="EM42" s="19"/>
      <c r="EN42" s="19"/>
      <c r="EO42" s="31"/>
      <c r="EP42" s="9"/>
      <c r="EQ42" s="58"/>
      <c r="ER42" s="65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58"/>
      <c r="FF42" s="19"/>
      <c r="FG42" s="19"/>
      <c r="FH42" s="31"/>
      <c r="FI42" s="9"/>
      <c r="FJ42" s="9"/>
      <c r="FK42" s="3"/>
      <c r="FL42" s="3"/>
      <c r="FM42" s="58"/>
      <c r="FN42" s="9"/>
      <c r="FO42" s="9"/>
      <c r="FP42" s="9"/>
      <c r="FQ42" s="9"/>
      <c r="FR42" s="31"/>
      <c r="FS42" s="58"/>
      <c r="FT42" s="117" t="s">
        <v>332</v>
      </c>
      <c r="FU42" s="117"/>
    </row>
    <row r="43" spans="1:178" ht="22.05" customHeight="1">
      <c r="A43" s="117"/>
      <c r="B43" s="117"/>
      <c r="D43" s="116" t="s">
        <v>359</v>
      </c>
      <c r="E43" s="116"/>
      <c r="F43" s="54">
        <v>1953</v>
      </c>
      <c r="H43" s="116" t="s">
        <v>312</v>
      </c>
      <c r="I43" s="116"/>
      <c r="J43" s="54">
        <f>1911+41</f>
        <v>1952</v>
      </c>
      <c r="M43" s="116" t="s">
        <v>312</v>
      </c>
      <c r="N43" s="116"/>
      <c r="O43" s="54">
        <f>1911+47</f>
        <v>1958</v>
      </c>
      <c r="P43" s="9"/>
      <c r="Q43"/>
      <c r="R43" s="3"/>
      <c r="S43" s="116" t="s">
        <v>1</v>
      </c>
      <c r="T43" s="116"/>
      <c r="U43" s="3"/>
      <c r="V43" s="116" t="s">
        <v>1</v>
      </c>
      <c r="W43" s="116"/>
      <c r="X43" s="116" t="s">
        <v>1</v>
      </c>
      <c r="Y43" s="116"/>
      <c r="Z43" s="116" t="s">
        <v>1</v>
      </c>
      <c r="AA43" s="116"/>
      <c r="AB43" s="116" t="s">
        <v>1</v>
      </c>
      <c r="AC43" s="116"/>
      <c r="AD43" s="116" t="s">
        <v>1</v>
      </c>
      <c r="AE43" s="116"/>
      <c r="AF43" s="116" t="s">
        <v>1</v>
      </c>
      <c r="AG43" s="116"/>
      <c r="AH43" s="116" t="s">
        <v>1</v>
      </c>
      <c r="AI43" s="116"/>
      <c r="AJ43" s="8"/>
      <c r="AK43" s="116" t="s">
        <v>1</v>
      </c>
      <c r="AL43" s="116"/>
      <c r="AM43" s="116" t="s">
        <v>1</v>
      </c>
      <c r="AN43" s="116"/>
      <c r="AO43" s="116" t="s">
        <v>1</v>
      </c>
      <c r="AP43" s="116"/>
      <c r="AQ43" s="116" t="s">
        <v>1</v>
      </c>
      <c r="AR43" s="116"/>
      <c r="AS43" s="116" t="s">
        <v>1</v>
      </c>
      <c r="AT43" s="116"/>
      <c r="AU43" s="116" t="s">
        <v>1</v>
      </c>
      <c r="AV43" s="116"/>
      <c r="AW43" s="116" t="s">
        <v>1</v>
      </c>
      <c r="AX43" s="116"/>
      <c r="AY43" s="116" t="s">
        <v>1</v>
      </c>
      <c r="AZ43" s="116"/>
      <c r="BA43" s="116" t="s">
        <v>1</v>
      </c>
      <c r="BB43" s="116"/>
      <c r="BC43" s="116" t="s">
        <v>1</v>
      </c>
      <c r="BD43" s="116"/>
      <c r="BE43" s="3"/>
      <c r="BF43" s="116" t="s">
        <v>1</v>
      </c>
      <c r="BG43" s="116"/>
      <c r="BH43" s="69"/>
      <c r="BI43" s="3"/>
      <c r="BJ43" s="3"/>
      <c r="BK43" s="3"/>
      <c r="BL43" s="116" t="s">
        <v>1</v>
      </c>
      <c r="BM43" s="116"/>
      <c r="BN43" s="116" t="s">
        <v>1</v>
      </c>
      <c r="BO43" s="116"/>
      <c r="BP43" s="116" t="s">
        <v>1</v>
      </c>
      <c r="BQ43" s="116"/>
      <c r="BR43" s="3"/>
      <c r="BS43" s="3"/>
      <c r="BT43" s="116" t="s">
        <v>1</v>
      </c>
      <c r="BU43" s="116"/>
      <c r="BV43" s="6"/>
      <c r="BW43" s="6"/>
      <c r="BX43" s="116" t="s">
        <v>1</v>
      </c>
      <c r="BY43" s="116"/>
      <c r="BZ43" s="7"/>
      <c r="CA43" s="116" t="s">
        <v>1</v>
      </c>
      <c r="CB43" s="116"/>
      <c r="CC43" s="7"/>
      <c r="CD43" s="116" t="s">
        <v>1</v>
      </c>
      <c r="CE43" s="116"/>
      <c r="CF43" s="116" t="s">
        <v>1</v>
      </c>
      <c r="CG43" s="116"/>
      <c r="CH43" s="116" t="s">
        <v>1</v>
      </c>
      <c r="CI43" s="116"/>
      <c r="CJ43" s="54">
        <v>1943</v>
      </c>
      <c r="CK43" s="7"/>
      <c r="CL43" s="7"/>
      <c r="CM43" s="116" t="s">
        <v>36</v>
      </c>
      <c r="CN43" s="116"/>
      <c r="CO43" s="2"/>
      <c r="CP43" s="116" t="s">
        <v>1</v>
      </c>
      <c r="CQ43" s="116"/>
      <c r="CR43" s="3"/>
      <c r="CS43" s="116" t="s">
        <v>1</v>
      </c>
      <c r="CT43" s="116"/>
      <c r="CU43" s="3"/>
      <c r="CV43" s="3"/>
      <c r="CW43" s="116" t="s">
        <v>1</v>
      </c>
      <c r="CX43" s="116"/>
      <c r="CY43" s="3"/>
      <c r="CZ43" s="116" t="s">
        <v>1</v>
      </c>
      <c r="DA43" s="116"/>
      <c r="DB43" s="3"/>
      <c r="DC43" s="69"/>
      <c r="DD43" s="3"/>
      <c r="DE43" s="3"/>
      <c r="DF43" s="116" t="s">
        <v>1</v>
      </c>
      <c r="DG43" s="116"/>
      <c r="DH43" s="3"/>
      <c r="DI43" s="3"/>
      <c r="DJ43" s="69"/>
      <c r="DK43" s="3"/>
      <c r="DL43" s="3"/>
      <c r="DM43" s="116" t="s">
        <v>1</v>
      </c>
      <c r="DN43" s="116"/>
      <c r="DO43" s="3"/>
      <c r="DP43" s="3"/>
      <c r="DQ43" s="69"/>
      <c r="DR43" s="116" t="s">
        <v>1</v>
      </c>
      <c r="DS43" s="116"/>
      <c r="DT43" s="3"/>
      <c r="DU43" s="116" t="s">
        <v>1</v>
      </c>
      <c r="DV43" s="116"/>
      <c r="DW43" s="116" t="s">
        <v>1</v>
      </c>
      <c r="DX43" s="116"/>
      <c r="DY43" s="116" t="s">
        <v>1</v>
      </c>
      <c r="DZ43" s="116"/>
      <c r="EA43" s="116" t="s">
        <v>1</v>
      </c>
      <c r="EB43" s="116"/>
      <c r="EC43" s="116" t="s">
        <v>1</v>
      </c>
      <c r="ED43" s="116"/>
      <c r="EE43" s="6"/>
      <c r="EF43" s="6"/>
      <c r="EG43" s="116" t="s">
        <v>1</v>
      </c>
      <c r="EH43" s="116"/>
      <c r="EI43" s="116" t="s">
        <v>1</v>
      </c>
      <c r="EJ43" s="116"/>
      <c r="EL43" s="116" t="s">
        <v>312</v>
      </c>
      <c r="EM43" s="116"/>
      <c r="EN43" s="116" t="s">
        <v>312</v>
      </c>
      <c r="EO43" s="116"/>
      <c r="EP43" s="9"/>
      <c r="EQ43" s="116" t="s">
        <v>312</v>
      </c>
      <c r="ER43" s="116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116" t="s">
        <v>312</v>
      </c>
      <c r="FF43" s="116"/>
      <c r="FG43" s="116" t="s">
        <v>312</v>
      </c>
      <c r="FH43" s="116"/>
      <c r="FI43" s="9"/>
      <c r="FJ43" s="9"/>
      <c r="FK43" s="9"/>
      <c r="FL43" s="9"/>
      <c r="FM43" s="116" t="s">
        <v>312</v>
      </c>
      <c r="FN43" s="116"/>
      <c r="FO43" s="54">
        <v>1940</v>
      </c>
      <c r="FP43" s="25"/>
      <c r="FQ43" s="116" t="s">
        <v>312</v>
      </c>
      <c r="FR43" s="116"/>
      <c r="FS43" s="69"/>
      <c r="FT43" s="117"/>
      <c r="FU43" s="117"/>
    </row>
    <row r="44" spans="1:178" ht="22.05" customHeight="1">
      <c r="A44" s="117"/>
      <c r="B44" s="117"/>
      <c r="D44" s="116" t="s">
        <v>360</v>
      </c>
      <c r="E44" s="116"/>
      <c r="F44" s="7"/>
      <c r="H44" s="116" t="s">
        <v>322</v>
      </c>
      <c r="I44" s="116"/>
      <c r="M44" s="116" t="s">
        <v>177</v>
      </c>
      <c r="N44" s="116"/>
      <c r="O44" s="9"/>
      <c r="P44" s="9"/>
      <c r="Q44"/>
      <c r="R44" s="3"/>
      <c r="S44" s="116" t="s">
        <v>147</v>
      </c>
      <c r="T44" s="116"/>
      <c r="U44" s="3"/>
      <c r="V44" s="116" t="s">
        <v>40</v>
      </c>
      <c r="W44" s="116"/>
      <c r="X44" s="116" t="s">
        <v>148</v>
      </c>
      <c r="Y44" s="116"/>
      <c r="Z44" s="116" t="s">
        <v>148</v>
      </c>
      <c r="AA44" s="116"/>
      <c r="AB44" s="116" t="s">
        <v>149</v>
      </c>
      <c r="AC44" s="116"/>
      <c r="AD44" s="116" t="s">
        <v>150</v>
      </c>
      <c r="AE44" s="116"/>
      <c r="AF44" s="116" t="s">
        <v>150</v>
      </c>
      <c r="AG44" s="116"/>
      <c r="AH44" s="116" t="s">
        <v>151</v>
      </c>
      <c r="AI44" s="116"/>
      <c r="AJ44" s="8"/>
      <c r="AK44" s="116" t="s">
        <v>152</v>
      </c>
      <c r="AL44" s="116"/>
      <c r="AM44" s="116" t="s">
        <v>76</v>
      </c>
      <c r="AN44" s="116"/>
      <c r="AO44" s="116" t="s">
        <v>153</v>
      </c>
      <c r="AP44" s="116"/>
      <c r="AQ44" s="116" t="s">
        <v>154</v>
      </c>
      <c r="AR44" s="116"/>
      <c r="AS44" s="116" t="s">
        <v>150</v>
      </c>
      <c r="AT44" s="116"/>
      <c r="AU44" s="116" t="s">
        <v>155</v>
      </c>
      <c r="AV44" s="116"/>
      <c r="AW44" s="116" t="s">
        <v>156</v>
      </c>
      <c r="AX44" s="116"/>
      <c r="AY44" s="116" t="s">
        <v>156</v>
      </c>
      <c r="AZ44" s="116"/>
      <c r="BA44" s="116" t="s">
        <v>50</v>
      </c>
      <c r="BB44" s="116"/>
      <c r="BC44" s="116" t="s">
        <v>157</v>
      </c>
      <c r="BD44" s="116"/>
      <c r="BE44" s="3"/>
      <c r="BF44" s="116" t="s">
        <v>76</v>
      </c>
      <c r="BG44" s="116"/>
      <c r="BH44" s="69"/>
      <c r="BI44" s="3"/>
      <c r="BJ44" s="3"/>
      <c r="BK44" s="3"/>
      <c r="BL44" s="116" t="s">
        <v>158</v>
      </c>
      <c r="BM44" s="116"/>
      <c r="BN44" s="116" t="s">
        <v>159</v>
      </c>
      <c r="BO44" s="116"/>
      <c r="BP44" s="116" t="s">
        <v>160</v>
      </c>
      <c r="BQ44" s="116"/>
      <c r="BR44" s="3"/>
      <c r="BS44" s="3"/>
      <c r="BT44" s="116" t="s">
        <v>161</v>
      </c>
      <c r="BU44" s="116"/>
      <c r="BV44" s="6"/>
      <c r="BW44" s="6"/>
      <c r="BX44" s="116" t="s">
        <v>161</v>
      </c>
      <c r="BY44" s="116"/>
      <c r="BZ44" s="7"/>
      <c r="CA44" s="116" t="s">
        <v>161</v>
      </c>
      <c r="CB44" s="116"/>
      <c r="CC44" s="7"/>
      <c r="CD44" s="116" t="s">
        <v>95</v>
      </c>
      <c r="CE44" s="116"/>
      <c r="CF44" s="116" t="s">
        <v>95</v>
      </c>
      <c r="CG44" s="116"/>
      <c r="CH44" s="116" t="s">
        <v>95</v>
      </c>
      <c r="CI44" s="116"/>
      <c r="CJ44" s="7"/>
      <c r="CK44" s="7"/>
      <c r="CL44" s="7"/>
      <c r="CM44" s="116" t="s">
        <v>38</v>
      </c>
      <c r="CN44" s="116"/>
      <c r="CO44" s="2"/>
      <c r="CP44" s="116" t="s">
        <v>39</v>
      </c>
      <c r="CQ44" s="116"/>
      <c r="CR44" s="3"/>
      <c r="CS44" s="116" t="s">
        <v>40</v>
      </c>
      <c r="CT44" s="116"/>
      <c r="CU44" s="3"/>
      <c r="CV44" s="3"/>
      <c r="CW44" s="116" t="s">
        <v>41</v>
      </c>
      <c r="CX44" s="116"/>
      <c r="CY44" s="3"/>
      <c r="CZ44" s="116" t="s">
        <v>42</v>
      </c>
      <c r="DA44" s="116"/>
      <c r="DB44" s="3"/>
      <c r="DC44" s="69"/>
      <c r="DD44" s="3"/>
      <c r="DE44" s="3"/>
      <c r="DF44" s="116" t="s">
        <v>43</v>
      </c>
      <c r="DG44" s="116"/>
      <c r="DH44" s="3"/>
      <c r="DI44" s="3"/>
      <c r="DJ44" s="69"/>
      <c r="DK44" s="3"/>
      <c r="DL44" s="3"/>
      <c r="DM44" s="116" t="s">
        <v>44</v>
      </c>
      <c r="DN44" s="116"/>
      <c r="DO44" s="3"/>
      <c r="DP44" s="3"/>
      <c r="DQ44" s="69"/>
      <c r="DR44" s="116" t="s">
        <v>45</v>
      </c>
      <c r="DS44" s="116"/>
      <c r="DT44" s="3"/>
      <c r="DU44" s="116" t="s">
        <v>46</v>
      </c>
      <c r="DV44" s="116"/>
      <c r="DW44" s="116" t="s">
        <v>46</v>
      </c>
      <c r="DX44" s="116"/>
      <c r="DY44" s="116" t="s">
        <v>47</v>
      </c>
      <c r="DZ44" s="116"/>
      <c r="EA44" s="116" t="s">
        <v>48</v>
      </c>
      <c r="EB44" s="116"/>
      <c r="EC44" s="116" t="s">
        <v>49</v>
      </c>
      <c r="ED44" s="116"/>
      <c r="EE44" s="6"/>
      <c r="EF44" s="6"/>
      <c r="EG44" s="116" t="s">
        <v>50</v>
      </c>
      <c r="EH44" s="116"/>
      <c r="EI44" s="116" t="s">
        <v>51</v>
      </c>
      <c r="EJ44" s="116"/>
      <c r="EL44" s="116" t="s">
        <v>40</v>
      </c>
      <c r="EM44" s="116"/>
      <c r="EN44" s="116" t="s">
        <v>131</v>
      </c>
      <c r="EO44" s="116"/>
      <c r="EP44" s="9"/>
      <c r="EQ44" s="116" t="s">
        <v>303</v>
      </c>
      <c r="ER44" s="116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116" t="s">
        <v>87</v>
      </c>
      <c r="FF44" s="116"/>
      <c r="FG44" s="116" t="s">
        <v>272</v>
      </c>
      <c r="FH44" s="116"/>
      <c r="FI44" s="9"/>
      <c r="FJ44" s="9"/>
      <c r="FK44" s="9"/>
      <c r="FL44" s="9"/>
      <c r="FM44" s="116" t="s">
        <v>131</v>
      </c>
      <c r="FN44" s="116"/>
      <c r="FO44" s="69"/>
      <c r="FP44" s="25"/>
      <c r="FQ44" s="116" t="s">
        <v>131</v>
      </c>
      <c r="FR44" s="116"/>
      <c r="FS44" s="69"/>
      <c r="FT44" s="117"/>
      <c r="FU44" s="117"/>
    </row>
    <row r="45" spans="1:178" ht="22.05" customHeight="1">
      <c r="A45" s="117"/>
      <c r="B45" s="117"/>
      <c r="D45" s="116" t="s">
        <v>361</v>
      </c>
      <c r="E45" s="116"/>
      <c r="F45" s="7"/>
      <c r="H45" s="116" t="s">
        <v>87</v>
      </c>
      <c r="I45" s="116"/>
      <c r="M45" s="116" t="s">
        <v>323</v>
      </c>
      <c r="N45" s="116"/>
      <c r="O45" s="9"/>
      <c r="P45" s="9"/>
      <c r="Q45"/>
      <c r="R45" s="3"/>
      <c r="S45" s="116" t="s">
        <v>162</v>
      </c>
      <c r="T45" s="116"/>
      <c r="U45" s="3"/>
      <c r="V45" s="116" t="s">
        <v>163</v>
      </c>
      <c r="W45" s="116"/>
      <c r="X45" s="116" t="s">
        <v>164</v>
      </c>
      <c r="Y45" s="116"/>
      <c r="Z45" s="116" t="s">
        <v>165</v>
      </c>
      <c r="AA45" s="116"/>
      <c r="AB45" s="116" t="s">
        <v>166</v>
      </c>
      <c r="AC45" s="116"/>
      <c r="AD45" s="116" t="s">
        <v>167</v>
      </c>
      <c r="AE45" s="116"/>
      <c r="AF45" s="116" t="s">
        <v>168</v>
      </c>
      <c r="AG45" s="116"/>
      <c r="AH45" s="116" t="s">
        <v>169</v>
      </c>
      <c r="AI45" s="116"/>
      <c r="AJ45" s="6"/>
      <c r="AK45" s="116" t="s">
        <v>106</v>
      </c>
      <c r="AL45" s="116"/>
      <c r="AM45" s="116" t="s">
        <v>170</v>
      </c>
      <c r="AN45" s="116"/>
      <c r="AO45" s="116" t="s">
        <v>171</v>
      </c>
      <c r="AP45" s="116"/>
      <c r="AQ45" s="116" t="s">
        <v>172</v>
      </c>
      <c r="AR45" s="116"/>
      <c r="AS45" s="116" t="s">
        <v>173</v>
      </c>
      <c r="AT45" s="116"/>
      <c r="AU45" s="116" t="s">
        <v>76</v>
      </c>
      <c r="AV45" s="116"/>
      <c r="AW45" s="116" t="s">
        <v>174</v>
      </c>
      <c r="AX45" s="116"/>
      <c r="AY45" s="116" t="s">
        <v>175</v>
      </c>
      <c r="AZ45" s="116"/>
      <c r="BA45" s="116" t="s">
        <v>176</v>
      </c>
      <c r="BB45" s="116"/>
      <c r="BC45" s="116" t="s">
        <v>177</v>
      </c>
      <c r="BD45" s="116"/>
      <c r="BE45" s="3"/>
      <c r="BF45" s="116" t="s">
        <v>178</v>
      </c>
      <c r="BG45" s="116"/>
      <c r="BH45" s="69"/>
      <c r="BI45" s="3"/>
      <c r="BJ45" s="3"/>
      <c r="BK45" s="3"/>
      <c r="BL45" s="116" t="s">
        <v>179</v>
      </c>
      <c r="BM45" s="116"/>
      <c r="BN45" s="116" t="s">
        <v>180</v>
      </c>
      <c r="BO45" s="116"/>
      <c r="BP45" s="116" t="s">
        <v>181</v>
      </c>
      <c r="BQ45" s="116"/>
      <c r="BR45" s="3"/>
      <c r="BS45" s="3"/>
      <c r="BT45" s="116" t="s">
        <v>182</v>
      </c>
      <c r="BU45" s="116"/>
      <c r="BV45" s="6"/>
      <c r="BW45" s="6"/>
      <c r="BX45" s="116" t="s">
        <v>183</v>
      </c>
      <c r="BY45" s="116"/>
      <c r="BZ45" s="7"/>
      <c r="CA45" s="116" t="s">
        <v>166</v>
      </c>
      <c r="CB45" s="116"/>
      <c r="CC45" s="7"/>
      <c r="CD45" s="116" t="s">
        <v>184</v>
      </c>
      <c r="CE45" s="116"/>
      <c r="CF45" s="116" t="s">
        <v>185</v>
      </c>
      <c r="CG45" s="116"/>
      <c r="CH45" s="116" t="s">
        <v>58</v>
      </c>
      <c r="CI45" s="116"/>
      <c r="CJ45" s="7"/>
      <c r="CK45" s="7"/>
      <c r="CL45" s="7"/>
      <c r="CM45" s="116" t="s">
        <v>52</v>
      </c>
      <c r="CN45" s="116"/>
      <c r="CO45" s="2"/>
      <c r="CP45" s="116" t="s">
        <v>53</v>
      </c>
      <c r="CQ45" s="116"/>
      <c r="CR45" s="3"/>
      <c r="CS45" s="116" t="s">
        <v>54</v>
      </c>
      <c r="CT45" s="116"/>
      <c r="CU45" s="3"/>
      <c r="CV45" s="3"/>
      <c r="CW45" s="116" t="s">
        <v>55</v>
      </c>
      <c r="CX45" s="116"/>
      <c r="CY45" s="3"/>
      <c r="CZ45" s="116" t="s">
        <v>56</v>
      </c>
      <c r="DA45" s="116"/>
      <c r="DB45" s="3"/>
      <c r="DC45" s="69"/>
      <c r="DD45" s="3"/>
      <c r="DE45" s="3"/>
      <c r="DF45" s="116" t="s">
        <v>57</v>
      </c>
      <c r="DG45" s="116"/>
      <c r="DH45" s="3"/>
      <c r="DI45" s="3"/>
      <c r="DJ45" s="69"/>
      <c r="DK45" s="3"/>
      <c r="DL45" s="3"/>
      <c r="DM45" s="116" t="s">
        <v>58</v>
      </c>
      <c r="DN45" s="116"/>
      <c r="DO45" s="3"/>
      <c r="DP45" s="3"/>
      <c r="DQ45" s="3"/>
      <c r="DR45" s="116" t="s">
        <v>59</v>
      </c>
      <c r="DS45" s="116"/>
      <c r="DT45" s="3"/>
      <c r="DU45" s="116" t="s">
        <v>60</v>
      </c>
      <c r="DV45" s="116"/>
      <c r="DW45" s="116" t="s">
        <v>61</v>
      </c>
      <c r="DX45" s="116"/>
      <c r="DY45" s="116" t="s">
        <v>10</v>
      </c>
      <c r="DZ45" s="116"/>
      <c r="EA45" s="116" t="s">
        <v>43</v>
      </c>
      <c r="EB45" s="116"/>
      <c r="EC45" s="116" t="s">
        <v>62</v>
      </c>
      <c r="ED45" s="116"/>
      <c r="EE45" s="6"/>
      <c r="EF45" s="6"/>
      <c r="EG45" s="116" t="s">
        <v>63</v>
      </c>
      <c r="EH45" s="116"/>
      <c r="EI45" s="116" t="s">
        <v>15</v>
      </c>
      <c r="EJ45" s="116"/>
      <c r="EL45" s="116" t="s">
        <v>305</v>
      </c>
      <c r="EM45" s="116"/>
      <c r="EN45" s="116" t="s">
        <v>92</v>
      </c>
      <c r="EO45" s="116"/>
      <c r="EP45" s="9"/>
      <c r="EQ45" s="116" t="s">
        <v>195</v>
      </c>
      <c r="ER45" s="116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116" t="s">
        <v>43</v>
      </c>
      <c r="FF45" s="116"/>
      <c r="FG45" s="116" t="s">
        <v>227</v>
      </c>
      <c r="FH45" s="116"/>
      <c r="FI45" s="9"/>
      <c r="FJ45" s="9"/>
      <c r="FK45" s="9"/>
      <c r="FL45" s="9"/>
      <c r="FM45" s="116" t="s">
        <v>41</v>
      </c>
      <c r="FN45" s="116"/>
      <c r="FO45" s="69"/>
      <c r="FP45" s="6"/>
      <c r="FQ45" s="116" t="s">
        <v>306</v>
      </c>
      <c r="FR45" s="116"/>
      <c r="FS45" s="69"/>
      <c r="FT45" s="117"/>
      <c r="FU45" s="117"/>
    </row>
    <row r="46" spans="1:178" ht="22.05" customHeight="1">
      <c r="A46" s="117"/>
      <c r="B46" s="117"/>
      <c r="D46" s="58"/>
      <c r="E46" s="9"/>
      <c r="F46" s="7"/>
      <c r="G46" s="9"/>
      <c r="H46" s="58"/>
      <c r="I46" s="9"/>
      <c r="M46" s="58"/>
      <c r="N46" s="9"/>
      <c r="O46" s="9"/>
      <c r="Q46"/>
      <c r="R46" s="3"/>
      <c r="S46" s="3"/>
      <c r="T46" s="10"/>
      <c r="U46" s="3"/>
      <c r="V46" s="9"/>
      <c r="W46" s="31"/>
      <c r="X46" s="3"/>
      <c r="Y46" s="3"/>
      <c r="Z46" s="9"/>
      <c r="AA46" s="31"/>
      <c r="AB46" s="3"/>
      <c r="AC46" s="3"/>
      <c r="AD46" s="3"/>
      <c r="AE46" s="3"/>
      <c r="AF46" s="3"/>
      <c r="AG46" s="3"/>
      <c r="AH46" s="3"/>
      <c r="AI46" s="10"/>
      <c r="AJ46" s="3"/>
      <c r="AK46" s="6"/>
      <c r="AL46" s="1"/>
      <c r="AM46" s="1"/>
      <c r="AN46" s="1"/>
      <c r="AO46" s="2"/>
      <c r="AP46" s="2"/>
      <c r="AQ46" s="69"/>
      <c r="AR46" s="3"/>
      <c r="AS46" s="3"/>
      <c r="AT46" s="10"/>
      <c r="AU46" s="3"/>
      <c r="AV46" s="3"/>
      <c r="AW46" s="9"/>
      <c r="AX46" s="31"/>
      <c r="AY46" s="3"/>
      <c r="AZ46" s="3"/>
      <c r="BA46" s="3"/>
      <c r="BB46" s="3"/>
      <c r="BC46" s="3"/>
      <c r="BD46" s="10"/>
      <c r="BE46" s="3"/>
      <c r="BF46" s="6"/>
      <c r="BG46" s="36"/>
      <c r="BH46" s="86"/>
      <c r="BI46" s="3"/>
      <c r="BJ46" s="3"/>
      <c r="BK46" s="3"/>
      <c r="BL46" s="3"/>
      <c r="BM46" s="3"/>
      <c r="BN46" s="3"/>
      <c r="BO46" s="3"/>
      <c r="BP46" s="6"/>
      <c r="BQ46" s="36"/>
      <c r="BR46" s="3"/>
      <c r="BS46" s="3"/>
      <c r="BT46" s="6"/>
      <c r="BU46" s="38"/>
      <c r="BV46" s="6"/>
      <c r="BW46" s="6"/>
      <c r="BX46" s="6"/>
      <c r="BY46" s="6"/>
      <c r="BZ46" s="3"/>
      <c r="CA46" s="3"/>
      <c r="CB46" s="10"/>
      <c r="CC46" s="3"/>
      <c r="CD46" s="6"/>
      <c r="CE46" s="36"/>
      <c r="CF46" s="7"/>
      <c r="CG46" s="7"/>
      <c r="CH46" s="3"/>
      <c r="CI46" s="10"/>
      <c r="CJ46" s="3"/>
      <c r="CK46" s="3"/>
      <c r="CL46" s="3"/>
      <c r="CM46" s="1"/>
      <c r="CN46" s="1"/>
      <c r="CO46" s="2"/>
      <c r="CP46" s="9"/>
      <c r="CQ46" s="31"/>
      <c r="CR46" s="3"/>
      <c r="CS46" s="3"/>
      <c r="CT46" s="10"/>
      <c r="CU46" s="3"/>
      <c r="CV46" s="3"/>
      <c r="CW46" s="3"/>
      <c r="CX46" s="10"/>
      <c r="CY46" s="3"/>
      <c r="CZ46" s="9"/>
      <c r="DA46" s="31"/>
      <c r="DB46" s="3"/>
      <c r="DC46" s="34"/>
      <c r="DD46" s="16"/>
      <c r="DE46" s="16"/>
      <c r="DF46" s="3"/>
      <c r="DG46" s="10"/>
      <c r="DH46" s="16"/>
      <c r="DI46" s="16"/>
      <c r="DJ46" s="3"/>
      <c r="DK46" s="3"/>
      <c r="DL46" s="3"/>
      <c r="DM46" s="3"/>
      <c r="DN46" s="10"/>
      <c r="DO46" s="3"/>
      <c r="DP46" s="3"/>
      <c r="DQ46" s="3"/>
      <c r="DR46" s="3"/>
      <c r="DS46" s="10"/>
      <c r="DT46" s="3"/>
      <c r="DU46" s="9"/>
      <c r="DV46" s="31"/>
      <c r="DW46" s="9"/>
      <c r="DX46" s="31"/>
      <c r="DY46" s="3"/>
      <c r="DZ46" s="3"/>
      <c r="EA46" s="9"/>
      <c r="EB46" s="31"/>
      <c r="EC46" s="9"/>
      <c r="ED46" s="31"/>
      <c r="EE46" s="6"/>
      <c r="EF46" s="3"/>
      <c r="EG46" s="3"/>
      <c r="EH46" s="10"/>
      <c r="EI46" s="3"/>
      <c r="EJ46" s="7"/>
      <c r="EL46" s="58"/>
      <c r="EM46" s="31"/>
      <c r="EN46" s="58"/>
      <c r="EO46" s="31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58"/>
      <c r="FN46" s="31"/>
      <c r="FO46" s="9"/>
      <c r="FP46" s="9"/>
      <c r="FQ46" s="9"/>
      <c r="FR46" s="9"/>
      <c r="FS46" s="9"/>
      <c r="FT46" s="117"/>
      <c r="FU46" s="117"/>
    </row>
    <row r="47" spans="1:178" ht="22.05" customHeight="1">
      <c r="A47" s="117" t="s">
        <v>333</v>
      </c>
      <c r="B47" s="117"/>
      <c r="E47" s="31"/>
      <c r="H47" s="3"/>
      <c r="I47" s="31"/>
      <c r="J47" s="7"/>
      <c r="N47" s="31"/>
      <c r="O47" s="9"/>
      <c r="Q47"/>
      <c r="R47" s="3"/>
      <c r="S47" s="18"/>
      <c r="T47" s="13"/>
      <c r="U47" s="10"/>
      <c r="V47" s="6"/>
      <c r="W47" s="10"/>
      <c r="X47" s="3"/>
      <c r="Y47" s="3"/>
      <c r="Z47" s="6"/>
      <c r="AA47" s="10"/>
      <c r="AB47" s="3"/>
      <c r="AC47" s="3"/>
      <c r="AD47" s="3"/>
      <c r="AE47" s="3"/>
      <c r="AF47" s="3"/>
      <c r="AG47" s="3"/>
      <c r="AH47" s="18"/>
      <c r="AI47" s="13"/>
      <c r="AJ47" s="10"/>
      <c r="AK47" s="6"/>
      <c r="AL47" s="1"/>
      <c r="AM47" s="1"/>
      <c r="AN47" s="1"/>
      <c r="AO47" s="2"/>
      <c r="AP47" s="2"/>
      <c r="AQ47" s="69"/>
      <c r="AR47" s="3"/>
      <c r="AS47" s="18"/>
      <c r="AT47" s="13"/>
      <c r="AU47" s="10"/>
      <c r="AV47" s="3"/>
      <c r="AW47" s="6"/>
      <c r="AX47" s="10"/>
      <c r="AY47" s="3"/>
      <c r="AZ47" s="3"/>
      <c r="BA47" s="3"/>
      <c r="BB47" s="3"/>
      <c r="BC47" s="18"/>
      <c r="BD47" s="13"/>
      <c r="BE47" s="10"/>
      <c r="BF47" s="6"/>
      <c r="BG47" s="10"/>
      <c r="BH47" s="83"/>
      <c r="BI47" s="3"/>
      <c r="BJ47" s="3"/>
      <c r="BK47" s="3"/>
      <c r="BL47" s="3"/>
      <c r="BM47" s="3"/>
      <c r="BN47" s="3"/>
      <c r="BO47" s="3"/>
      <c r="BP47" s="6"/>
      <c r="BQ47" s="10"/>
      <c r="BR47" s="3"/>
      <c r="BS47" s="18"/>
      <c r="BT47" s="21"/>
      <c r="BU47" s="48"/>
      <c r="BV47" s="33"/>
      <c r="BW47" s="36"/>
      <c r="BX47" s="6"/>
      <c r="BY47" s="6"/>
      <c r="BZ47" s="3"/>
      <c r="CA47" s="18"/>
      <c r="CB47" s="13"/>
      <c r="CC47" s="10"/>
      <c r="CD47" s="6"/>
      <c r="CE47" s="10"/>
      <c r="CF47" s="7"/>
      <c r="CG47" s="7"/>
      <c r="CH47" s="18"/>
      <c r="CI47" s="13"/>
      <c r="CJ47" s="10"/>
      <c r="CK47" s="83"/>
      <c r="CL47" s="83"/>
      <c r="CM47" s="1"/>
      <c r="CN47" s="1"/>
      <c r="CO47" s="2"/>
      <c r="CP47" s="6"/>
      <c r="CQ47" s="10"/>
      <c r="CR47" s="3"/>
      <c r="CS47" s="18"/>
      <c r="CT47" s="13"/>
      <c r="CU47" s="10"/>
      <c r="CV47" s="3"/>
      <c r="CW47" s="18"/>
      <c r="CX47" s="13"/>
      <c r="CY47" s="10"/>
      <c r="CZ47" s="6"/>
      <c r="DA47" s="10"/>
      <c r="DB47" s="3"/>
      <c r="DC47" s="23"/>
      <c r="DD47" s="3"/>
      <c r="DE47" s="3"/>
      <c r="DF47" s="35"/>
      <c r="DG47" s="13"/>
      <c r="DH47" s="3"/>
      <c r="DI47" s="3"/>
      <c r="DJ47" s="10"/>
      <c r="DK47" s="3"/>
      <c r="DL47" s="3"/>
      <c r="DM47" s="18"/>
      <c r="DN47" s="13"/>
      <c r="DO47" s="10"/>
      <c r="DP47" s="3"/>
      <c r="DQ47" s="3"/>
      <c r="DR47" s="18"/>
      <c r="DS47" s="13"/>
      <c r="DT47" s="10"/>
      <c r="DU47" s="6"/>
      <c r="DV47" s="10"/>
      <c r="DW47" s="6"/>
      <c r="DX47" s="10"/>
      <c r="DY47" s="3"/>
      <c r="DZ47" s="3"/>
      <c r="EA47" s="6"/>
      <c r="EB47" s="10"/>
      <c r="EC47" s="6"/>
      <c r="ED47" s="10"/>
      <c r="EE47" s="6"/>
      <c r="EF47" s="3"/>
      <c r="EG47" s="18"/>
      <c r="EH47" s="13"/>
      <c r="EI47" s="10"/>
      <c r="EJ47" s="7"/>
      <c r="EL47" s="65"/>
      <c r="EM47" s="31"/>
      <c r="EN47" s="58"/>
      <c r="EO47" s="65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3"/>
      <c r="FF47" s="3"/>
      <c r="FG47" s="7"/>
      <c r="FH47" s="7"/>
      <c r="FI47" s="7"/>
      <c r="FJ47" s="7"/>
      <c r="FK47" s="9"/>
      <c r="FL47" s="9"/>
      <c r="FM47" s="58"/>
      <c r="FN47" s="65"/>
      <c r="FO47" s="9"/>
      <c r="FP47" s="9"/>
      <c r="FQ47" s="9"/>
      <c r="FR47" s="9"/>
      <c r="FS47" s="9"/>
      <c r="FT47" s="117" t="s">
        <v>333</v>
      </c>
      <c r="FU47" s="117"/>
    </row>
    <row r="48" spans="1:178" ht="22.05" customHeight="1">
      <c r="A48" s="117"/>
      <c r="B48" s="117"/>
      <c r="D48" s="116" t="s">
        <v>312</v>
      </c>
      <c r="E48" s="116"/>
      <c r="F48" s="54">
        <v>1980</v>
      </c>
      <c r="H48" s="116" t="s">
        <v>312</v>
      </c>
      <c r="I48" s="116"/>
      <c r="J48" s="54">
        <v>1990</v>
      </c>
      <c r="M48" s="116" t="s">
        <v>312</v>
      </c>
      <c r="N48" s="116"/>
      <c r="O48" s="54">
        <v>1993</v>
      </c>
      <c r="Q48"/>
      <c r="R48" s="116" t="s">
        <v>1</v>
      </c>
      <c r="S48" s="116"/>
      <c r="T48" s="116" t="s">
        <v>1</v>
      </c>
      <c r="U48" s="116"/>
      <c r="V48" s="116" t="s">
        <v>1</v>
      </c>
      <c r="W48" s="116"/>
      <c r="X48" s="3"/>
      <c r="Y48" s="3"/>
      <c r="Z48" s="116" t="s">
        <v>1</v>
      </c>
      <c r="AA48" s="116"/>
      <c r="AB48" s="3"/>
      <c r="AC48" s="3"/>
      <c r="AD48" s="3"/>
      <c r="AE48" s="3"/>
      <c r="AF48" s="3"/>
      <c r="AG48" s="116" t="s">
        <v>1</v>
      </c>
      <c r="AH48" s="116"/>
      <c r="AI48" s="116" t="s">
        <v>1</v>
      </c>
      <c r="AJ48" s="116"/>
      <c r="AK48" s="26"/>
      <c r="AL48" s="1"/>
      <c r="AM48" s="1"/>
      <c r="AN48" s="1"/>
      <c r="AO48" s="2"/>
      <c r="AP48" s="2"/>
      <c r="AQ48" s="69"/>
      <c r="AR48" s="116" t="s">
        <v>1</v>
      </c>
      <c r="AS48" s="116"/>
      <c r="AT48" s="116" t="s">
        <v>1</v>
      </c>
      <c r="AU48" s="116"/>
      <c r="AV48" s="3"/>
      <c r="AW48" s="116" t="s">
        <v>1</v>
      </c>
      <c r="AX48" s="116"/>
      <c r="AY48" s="3"/>
      <c r="AZ48" s="3"/>
      <c r="BA48" s="3"/>
      <c r="BB48" s="116" t="s">
        <v>1</v>
      </c>
      <c r="BC48" s="116"/>
      <c r="BD48" s="116" t="s">
        <v>1</v>
      </c>
      <c r="BE48" s="116"/>
      <c r="BF48" s="116" t="s">
        <v>1</v>
      </c>
      <c r="BG48" s="116"/>
      <c r="BH48" s="69"/>
      <c r="BI48" s="3"/>
      <c r="BJ48" s="3"/>
      <c r="BK48" s="3"/>
      <c r="BL48" s="3"/>
      <c r="BM48" s="3"/>
      <c r="BN48" s="3"/>
      <c r="BO48" s="3"/>
      <c r="BP48" s="116" t="s">
        <v>1</v>
      </c>
      <c r="BQ48" s="116"/>
      <c r="BR48" s="116" t="s">
        <v>1</v>
      </c>
      <c r="BS48" s="116"/>
      <c r="BT48" s="116" t="s">
        <v>1</v>
      </c>
      <c r="BU48" s="116"/>
      <c r="BV48" s="116" t="s">
        <v>1</v>
      </c>
      <c r="BW48" s="116"/>
      <c r="BX48" s="26"/>
      <c r="BY48" s="26"/>
      <c r="BZ48" s="116" t="s">
        <v>1</v>
      </c>
      <c r="CA48" s="116"/>
      <c r="CB48" s="116" t="s">
        <v>1</v>
      </c>
      <c r="CC48" s="116"/>
      <c r="CD48" s="116" t="s">
        <v>1</v>
      </c>
      <c r="CE48" s="116"/>
      <c r="CF48" s="27"/>
      <c r="CG48" s="116" t="s">
        <v>1</v>
      </c>
      <c r="CH48" s="116"/>
      <c r="CI48" s="116" t="s">
        <v>1</v>
      </c>
      <c r="CJ48" s="116"/>
      <c r="CK48" s="54">
        <v>1975</v>
      </c>
      <c r="CL48" s="69"/>
      <c r="CM48" s="1"/>
      <c r="CN48" s="1"/>
      <c r="CO48" s="2"/>
      <c r="CP48" s="116" t="s">
        <v>1</v>
      </c>
      <c r="CQ48" s="116"/>
      <c r="CR48" s="116" t="s">
        <v>1</v>
      </c>
      <c r="CS48" s="116"/>
      <c r="CT48" s="116" t="s">
        <v>1</v>
      </c>
      <c r="CU48" s="116"/>
      <c r="CV48" s="116" t="s">
        <v>1</v>
      </c>
      <c r="CW48" s="116"/>
      <c r="CX48" s="116" t="s">
        <v>1</v>
      </c>
      <c r="CY48" s="116"/>
      <c r="CZ48" s="116" t="s">
        <v>1</v>
      </c>
      <c r="DA48" s="116"/>
      <c r="DB48" s="116" t="s">
        <v>1</v>
      </c>
      <c r="DC48" s="116"/>
      <c r="DD48" s="3"/>
      <c r="DE48" s="116" t="s">
        <v>1</v>
      </c>
      <c r="DF48" s="116"/>
      <c r="DG48" s="3"/>
      <c r="DH48" s="3"/>
      <c r="DI48" s="116" t="s">
        <v>1</v>
      </c>
      <c r="DJ48" s="116"/>
      <c r="DK48" s="3"/>
      <c r="DL48" s="116" t="s">
        <v>1</v>
      </c>
      <c r="DM48" s="116"/>
      <c r="DN48" s="116" t="s">
        <v>1</v>
      </c>
      <c r="DO48" s="116"/>
      <c r="DP48" s="3"/>
      <c r="DQ48" s="116" t="s">
        <v>1</v>
      </c>
      <c r="DR48" s="116"/>
      <c r="DS48" s="116" t="s">
        <v>1</v>
      </c>
      <c r="DT48" s="116"/>
      <c r="DU48" s="116" t="s">
        <v>1</v>
      </c>
      <c r="DV48" s="116"/>
      <c r="DW48" s="116" t="s">
        <v>1</v>
      </c>
      <c r="DX48" s="116"/>
      <c r="DY48" s="3"/>
      <c r="DZ48" s="3"/>
      <c r="EA48" s="116" t="s">
        <v>1</v>
      </c>
      <c r="EB48" s="116"/>
      <c r="EC48" s="116" t="s">
        <v>1</v>
      </c>
      <c r="ED48" s="116"/>
      <c r="EE48" s="26"/>
      <c r="EF48" s="116" t="s">
        <v>1</v>
      </c>
      <c r="EG48" s="116"/>
      <c r="EH48" s="116" t="s">
        <v>1</v>
      </c>
      <c r="EI48" s="116"/>
      <c r="EJ48" s="27"/>
      <c r="EK48" s="69"/>
      <c r="EL48" s="116" t="s">
        <v>312</v>
      </c>
      <c r="EM48" s="116"/>
      <c r="EN48" s="116" t="s">
        <v>312</v>
      </c>
      <c r="EO48" s="116"/>
      <c r="EP48" s="3"/>
      <c r="EQ48" s="9"/>
      <c r="ER48" s="9"/>
      <c r="ES48" s="3"/>
      <c r="ET48" s="3"/>
      <c r="EU48" s="3"/>
      <c r="EV48" s="3"/>
      <c r="EW48" s="3"/>
      <c r="EX48" s="3"/>
      <c r="EY48" s="7"/>
      <c r="EZ48" s="7"/>
      <c r="FA48" s="7"/>
      <c r="FB48" s="3"/>
      <c r="FC48" s="3"/>
      <c r="FD48" s="3"/>
      <c r="FE48" s="3"/>
      <c r="FF48" s="3"/>
      <c r="FG48" s="7"/>
      <c r="FH48" s="7"/>
      <c r="FI48" s="3"/>
      <c r="FJ48" s="3"/>
      <c r="FK48" s="7"/>
      <c r="FL48" s="9"/>
      <c r="FM48" s="116" t="s">
        <v>312</v>
      </c>
      <c r="FN48" s="116"/>
      <c r="FO48" s="54">
        <v>1973</v>
      </c>
      <c r="FP48" s="6"/>
      <c r="FQ48" s="7"/>
      <c r="FR48" s="6"/>
      <c r="FS48" s="6"/>
      <c r="FT48" s="117"/>
      <c r="FU48" s="117"/>
    </row>
    <row r="49" spans="1:177" ht="22.05" customHeight="1">
      <c r="A49" s="117"/>
      <c r="B49" s="117"/>
      <c r="D49" s="116" t="s">
        <v>362</v>
      </c>
      <c r="E49" s="116"/>
      <c r="H49" s="116" t="s">
        <v>364</v>
      </c>
      <c r="I49" s="116"/>
      <c r="J49" s="7"/>
      <c r="L49" s="9"/>
      <c r="M49" s="116" t="s">
        <v>76</v>
      </c>
      <c r="N49" s="116"/>
      <c r="Q49"/>
      <c r="R49" s="116" t="s">
        <v>186</v>
      </c>
      <c r="S49" s="116"/>
      <c r="T49" s="116" t="s">
        <v>42</v>
      </c>
      <c r="U49" s="116"/>
      <c r="V49" s="116" t="s">
        <v>187</v>
      </c>
      <c r="W49" s="116"/>
      <c r="X49" s="3"/>
      <c r="Y49" s="3"/>
      <c r="Z49" s="116" t="s">
        <v>188</v>
      </c>
      <c r="AA49" s="116"/>
      <c r="AB49" s="3"/>
      <c r="AC49" s="3"/>
      <c r="AD49" s="3"/>
      <c r="AE49" s="3"/>
      <c r="AF49" s="3"/>
      <c r="AG49" s="116" t="s">
        <v>111</v>
      </c>
      <c r="AH49" s="116"/>
      <c r="AI49" s="116" t="s">
        <v>89</v>
      </c>
      <c r="AJ49" s="116"/>
      <c r="AK49" s="26"/>
      <c r="AL49" s="1"/>
      <c r="AM49" s="1"/>
      <c r="AN49" s="1"/>
      <c r="AO49" s="2"/>
      <c r="AP49" s="2"/>
      <c r="AQ49" s="69"/>
      <c r="AR49" s="116" t="s">
        <v>189</v>
      </c>
      <c r="AS49" s="116"/>
      <c r="AT49" s="116" t="s">
        <v>189</v>
      </c>
      <c r="AU49" s="116"/>
      <c r="AV49" s="3"/>
      <c r="AW49" s="116" t="s">
        <v>190</v>
      </c>
      <c r="AX49" s="116"/>
      <c r="AY49" s="3"/>
      <c r="AZ49" s="3"/>
      <c r="BA49" s="3"/>
      <c r="BB49" s="116" t="s">
        <v>191</v>
      </c>
      <c r="BC49" s="116"/>
      <c r="BD49" s="116" t="s">
        <v>192</v>
      </c>
      <c r="BE49" s="116"/>
      <c r="BF49" s="116" t="s">
        <v>193</v>
      </c>
      <c r="BG49" s="116"/>
      <c r="BH49" s="69"/>
      <c r="BI49" s="3"/>
      <c r="BJ49" s="3"/>
      <c r="BK49" s="3"/>
      <c r="BL49" s="3"/>
      <c r="BM49" s="3"/>
      <c r="BN49" s="3"/>
      <c r="BO49" s="3"/>
      <c r="BP49" s="116" t="s">
        <v>194</v>
      </c>
      <c r="BQ49" s="116"/>
      <c r="BR49" s="116" t="s">
        <v>191</v>
      </c>
      <c r="BS49" s="116"/>
      <c r="BT49" s="116" t="s">
        <v>191</v>
      </c>
      <c r="BU49" s="116"/>
      <c r="BV49" s="116" t="s">
        <v>191</v>
      </c>
      <c r="BW49" s="116"/>
      <c r="BX49" s="26"/>
      <c r="BY49" s="26"/>
      <c r="BZ49" s="116" t="s">
        <v>154</v>
      </c>
      <c r="CA49" s="116"/>
      <c r="CB49" s="116" t="s">
        <v>41</v>
      </c>
      <c r="CC49" s="116"/>
      <c r="CD49" s="116" t="s">
        <v>195</v>
      </c>
      <c r="CE49" s="116"/>
      <c r="CF49" s="27"/>
      <c r="CG49" s="119" t="s">
        <v>196</v>
      </c>
      <c r="CH49" s="116"/>
      <c r="CI49" s="119" t="s">
        <v>196</v>
      </c>
      <c r="CJ49" s="116"/>
      <c r="CK49" s="69"/>
      <c r="CL49" s="69"/>
      <c r="CM49" s="1"/>
      <c r="CN49" s="1"/>
      <c r="CO49" s="2"/>
      <c r="CP49" s="116" t="s">
        <v>65</v>
      </c>
      <c r="CQ49" s="116"/>
      <c r="CR49" s="116" t="s">
        <v>66</v>
      </c>
      <c r="CS49" s="116"/>
      <c r="CT49" s="116" t="s">
        <v>67</v>
      </c>
      <c r="CU49" s="116"/>
      <c r="CV49" s="116" t="s">
        <v>68</v>
      </c>
      <c r="CW49" s="116"/>
      <c r="CX49" s="116" t="s">
        <v>68</v>
      </c>
      <c r="CY49" s="116"/>
      <c r="CZ49" s="116" t="s">
        <v>69</v>
      </c>
      <c r="DA49" s="116"/>
      <c r="DB49" s="116" t="s">
        <v>70</v>
      </c>
      <c r="DC49" s="116"/>
      <c r="DD49" s="3"/>
      <c r="DE49" s="116" t="s">
        <v>70</v>
      </c>
      <c r="DF49" s="116"/>
      <c r="DG49" s="3"/>
      <c r="DH49" s="3"/>
      <c r="DI49" s="116" t="s">
        <v>70</v>
      </c>
      <c r="DJ49" s="116"/>
      <c r="DK49" s="3"/>
      <c r="DL49" s="116" t="s">
        <v>71</v>
      </c>
      <c r="DM49" s="116"/>
      <c r="DN49" s="116" t="s">
        <v>72</v>
      </c>
      <c r="DO49" s="116"/>
      <c r="DP49" s="3"/>
      <c r="DQ49" s="116" t="s">
        <v>73</v>
      </c>
      <c r="DR49" s="116"/>
      <c r="DS49" s="116" t="s">
        <v>73</v>
      </c>
      <c r="DT49" s="116"/>
      <c r="DU49" s="116" t="s">
        <v>74</v>
      </c>
      <c r="DV49" s="116"/>
      <c r="DW49" s="116" t="s">
        <v>74</v>
      </c>
      <c r="DX49" s="116"/>
      <c r="DY49" s="3"/>
      <c r="DZ49" s="3"/>
      <c r="EA49" s="116" t="s">
        <v>74</v>
      </c>
      <c r="EB49" s="116"/>
      <c r="EC49" s="116" t="s">
        <v>75</v>
      </c>
      <c r="ED49" s="116"/>
      <c r="EE49" s="26"/>
      <c r="EF49" s="116" t="s">
        <v>76</v>
      </c>
      <c r="EG49" s="116"/>
      <c r="EH49" s="116" t="s">
        <v>76</v>
      </c>
      <c r="EI49" s="116"/>
      <c r="EJ49" s="27"/>
      <c r="EK49" s="69"/>
      <c r="EL49" s="116" t="s">
        <v>104</v>
      </c>
      <c r="EM49" s="116"/>
      <c r="EN49" s="116" t="s">
        <v>187</v>
      </c>
      <c r="EO49" s="116"/>
      <c r="EP49" s="3"/>
      <c r="EQ49" s="7"/>
      <c r="ER49" s="7"/>
      <c r="ES49" s="3"/>
      <c r="ET49" s="3"/>
      <c r="EU49" s="3"/>
      <c r="EV49" s="3"/>
      <c r="EW49" s="3"/>
      <c r="EX49" s="3"/>
      <c r="EY49" s="7"/>
      <c r="EZ49" s="7"/>
      <c r="FA49" s="7"/>
      <c r="FB49" s="3"/>
      <c r="FC49" s="3"/>
      <c r="FD49" s="3"/>
      <c r="FE49" s="3"/>
      <c r="FF49" s="3"/>
      <c r="FG49" s="7"/>
      <c r="FH49" s="7"/>
      <c r="FI49" s="3"/>
      <c r="FJ49" s="3"/>
      <c r="FK49" s="3"/>
      <c r="FL49" s="7"/>
      <c r="FM49" s="116" t="s">
        <v>75</v>
      </c>
      <c r="FN49" s="116"/>
      <c r="FO49" s="69"/>
      <c r="FP49" s="6"/>
      <c r="FQ49" s="7"/>
      <c r="FR49" s="6"/>
      <c r="FS49" s="6"/>
      <c r="FT49" s="117"/>
      <c r="FU49" s="117"/>
    </row>
    <row r="50" spans="1:177" ht="22.05" customHeight="1">
      <c r="A50" s="117"/>
      <c r="B50" s="117"/>
      <c r="D50" s="116" t="s">
        <v>363</v>
      </c>
      <c r="E50" s="116"/>
      <c r="H50" s="116" t="s">
        <v>365</v>
      </c>
      <c r="I50" s="116"/>
      <c r="J50" s="7"/>
      <c r="L50" s="9"/>
      <c r="M50" s="116" t="s">
        <v>324</v>
      </c>
      <c r="N50" s="116"/>
      <c r="O50" s="3"/>
      <c r="Q50"/>
      <c r="R50" s="116" t="s">
        <v>153</v>
      </c>
      <c r="S50" s="116"/>
      <c r="T50" s="116" t="s">
        <v>197</v>
      </c>
      <c r="U50" s="116"/>
      <c r="V50" s="116" t="s">
        <v>198</v>
      </c>
      <c r="W50" s="116"/>
      <c r="X50" s="3"/>
      <c r="Y50" s="3"/>
      <c r="Z50" s="116" t="s">
        <v>199</v>
      </c>
      <c r="AA50" s="116"/>
      <c r="AB50" s="3"/>
      <c r="AC50" s="3"/>
      <c r="AD50" s="3"/>
      <c r="AE50" s="3"/>
      <c r="AF50" s="3"/>
      <c r="AG50" s="116" t="s">
        <v>96</v>
      </c>
      <c r="AH50" s="116"/>
      <c r="AI50" s="116" t="s">
        <v>70</v>
      </c>
      <c r="AJ50" s="116"/>
      <c r="AK50" s="6"/>
      <c r="AL50" s="1"/>
      <c r="AM50" s="1"/>
      <c r="AN50" s="1"/>
      <c r="AO50" s="2"/>
      <c r="AP50" s="2"/>
      <c r="AQ50" s="69"/>
      <c r="AR50" s="116" t="s">
        <v>60</v>
      </c>
      <c r="AS50" s="116"/>
      <c r="AT50" s="116" t="s">
        <v>200</v>
      </c>
      <c r="AU50" s="116"/>
      <c r="AV50" s="3"/>
      <c r="AW50" s="116" t="s">
        <v>201</v>
      </c>
      <c r="AX50" s="116"/>
      <c r="AY50" s="3"/>
      <c r="AZ50" s="3"/>
      <c r="BA50" s="3"/>
      <c r="BB50" s="116" t="s">
        <v>202</v>
      </c>
      <c r="BC50" s="116"/>
      <c r="BD50" s="116" t="s">
        <v>202</v>
      </c>
      <c r="BE50" s="116"/>
      <c r="BF50" s="116" t="s">
        <v>203</v>
      </c>
      <c r="BG50" s="116"/>
      <c r="BH50" s="69"/>
      <c r="BI50" s="3"/>
      <c r="BJ50" s="3"/>
      <c r="BK50" s="3"/>
      <c r="BL50" s="3"/>
      <c r="BM50" s="3"/>
      <c r="BN50" s="3"/>
      <c r="BO50" s="3"/>
      <c r="BP50" s="116" t="s">
        <v>204</v>
      </c>
      <c r="BQ50" s="116"/>
      <c r="BR50" s="116" t="s">
        <v>205</v>
      </c>
      <c r="BS50" s="116"/>
      <c r="BT50" s="116" t="s">
        <v>69</v>
      </c>
      <c r="BU50" s="116"/>
      <c r="BV50" s="116" t="s">
        <v>63</v>
      </c>
      <c r="BW50" s="116"/>
      <c r="BX50" s="6"/>
      <c r="BY50" s="6"/>
      <c r="BZ50" s="116" t="s">
        <v>206</v>
      </c>
      <c r="CA50" s="116"/>
      <c r="CB50" s="116" t="s">
        <v>206</v>
      </c>
      <c r="CC50" s="116"/>
      <c r="CD50" s="116" t="s">
        <v>207</v>
      </c>
      <c r="CE50" s="116"/>
      <c r="CF50" s="7"/>
      <c r="CG50" s="116" t="s">
        <v>208</v>
      </c>
      <c r="CH50" s="116"/>
      <c r="CI50" s="116" t="s">
        <v>206</v>
      </c>
      <c r="CJ50" s="116"/>
      <c r="CK50" s="69"/>
      <c r="CL50" s="69"/>
      <c r="CM50" s="1"/>
      <c r="CN50" s="1"/>
      <c r="CO50" s="2"/>
      <c r="CP50" s="116" t="s">
        <v>77</v>
      </c>
      <c r="CQ50" s="116"/>
      <c r="CR50" s="116" t="s">
        <v>78</v>
      </c>
      <c r="CS50" s="116"/>
      <c r="CT50" s="116" t="s">
        <v>79</v>
      </c>
      <c r="CU50" s="116"/>
      <c r="CV50" s="116" t="s">
        <v>80</v>
      </c>
      <c r="CW50" s="116"/>
      <c r="CX50" s="116" t="s">
        <v>81</v>
      </c>
      <c r="CY50" s="116"/>
      <c r="CZ50" s="116" t="s">
        <v>63</v>
      </c>
      <c r="DA50" s="116"/>
      <c r="DB50" s="116" t="s">
        <v>82</v>
      </c>
      <c r="DC50" s="116"/>
      <c r="DD50" s="3"/>
      <c r="DE50" s="116" t="s">
        <v>83</v>
      </c>
      <c r="DF50" s="116"/>
      <c r="DG50" s="3"/>
      <c r="DH50" s="3"/>
      <c r="DI50" s="116" t="s">
        <v>84</v>
      </c>
      <c r="DJ50" s="116"/>
      <c r="DK50" s="3"/>
      <c r="DL50" s="116" t="s">
        <v>85</v>
      </c>
      <c r="DM50" s="116"/>
      <c r="DN50" s="116" t="s">
        <v>86</v>
      </c>
      <c r="DO50" s="116"/>
      <c r="DP50" s="3"/>
      <c r="DQ50" s="116" t="s">
        <v>87</v>
      </c>
      <c r="DR50" s="116"/>
      <c r="DS50" s="116" t="s">
        <v>88</v>
      </c>
      <c r="DT50" s="116"/>
      <c r="DU50" s="116" t="s">
        <v>13</v>
      </c>
      <c r="DV50" s="116"/>
      <c r="DW50" s="116" t="s">
        <v>89</v>
      </c>
      <c r="DX50" s="116"/>
      <c r="DY50" s="3"/>
      <c r="DZ50" s="3"/>
      <c r="EA50" s="116" t="s">
        <v>90</v>
      </c>
      <c r="EB50" s="116"/>
      <c r="EC50" s="116" t="s">
        <v>91</v>
      </c>
      <c r="ED50" s="116"/>
      <c r="EE50" s="6"/>
      <c r="EF50" s="116" t="s">
        <v>92</v>
      </c>
      <c r="EG50" s="116"/>
      <c r="EH50" s="116" t="s">
        <v>87</v>
      </c>
      <c r="EI50" s="116"/>
      <c r="EJ50" s="7"/>
      <c r="EK50" s="69"/>
      <c r="EL50" s="116" t="s">
        <v>308</v>
      </c>
      <c r="EM50" s="116"/>
      <c r="EN50" s="116" t="s">
        <v>309</v>
      </c>
      <c r="EO50" s="116"/>
      <c r="EP50" s="3"/>
      <c r="EQ50" s="7"/>
      <c r="ER50" s="7"/>
      <c r="ES50" s="3"/>
      <c r="ET50" s="3"/>
      <c r="EU50" s="3"/>
      <c r="EV50" s="3"/>
      <c r="EW50" s="3"/>
      <c r="EX50" s="3"/>
      <c r="EY50" s="7"/>
      <c r="EZ50" s="7"/>
      <c r="FA50" s="7"/>
      <c r="FB50" s="3"/>
      <c r="FC50" s="3"/>
      <c r="FD50" s="3"/>
      <c r="FE50" s="3"/>
      <c r="FF50" s="3"/>
      <c r="FG50" s="7"/>
      <c r="FH50" s="7"/>
      <c r="FI50" s="3"/>
      <c r="FJ50" s="3"/>
      <c r="FK50" s="3"/>
      <c r="FL50" s="3"/>
      <c r="FM50" s="116" t="s">
        <v>69</v>
      </c>
      <c r="FN50" s="116"/>
      <c r="FO50" s="69"/>
      <c r="FP50" s="6"/>
      <c r="FQ50" s="7"/>
      <c r="FR50" s="6"/>
      <c r="FS50" s="6"/>
      <c r="FT50" s="117"/>
      <c r="FU50" s="117"/>
    </row>
    <row r="51" spans="1:177" ht="22.05" customHeight="1">
      <c r="A51" s="118"/>
      <c r="B51" s="118"/>
      <c r="K51" s="9"/>
      <c r="L51" s="9"/>
      <c r="Q51"/>
      <c r="CM51" s="1"/>
      <c r="CN51" s="1"/>
      <c r="CO51" s="2"/>
      <c r="CP51" s="2"/>
      <c r="CQ51" s="2"/>
      <c r="CR51" s="2"/>
      <c r="CS51" s="2"/>
      <c r="CT51" s="2"/>
      <c r="CU51" s="2"/>
      <c r="CV51" s="3"/>
      <c r="CW51" s="3"/>
      <c r="CX51" s="2"/>
      <c r="CY51" s="69"/>
      <c r="CZ51" s="3"/>
      <c r="DA51" s="3"/>
      <c r="DB51" s="9"/>
      <c r="DC51" s="31"/>
      <c r="DD51" s="3"/>
      <c r="DE51" s="3"/>
      <c r="DF51" s="10"/>
      <c r="DG51" s="3"/>
      <c r="DH51" s="3"/>
      <c r="DI51" s="3"/>
      <c r="DJ51" s="10"/>
      <c r="DK51" s="3"/>
      <c r="DL51" s="9"/>
      <c r="DM51" s="31"/>
      <c r="DN51" s="3"/>
      <c r="DO51" s="3"/>
      <c r="DP51" s="3"/>
      <c r="DQ51" s="3"/>
      <c r="DR51" s="10"/>
      <c r="DS51" s="3"/>
      <c r="DT51" s="3"/>
      <c r="DU51" s="3"/>
      <c r="DV51" s="3"/>
      <c r="DW51" s="3"/>
      <c r="DX51" s="3"/>
      <c r="DY51" s="3"/>
      <c r="DZ51" s="3"/>
      <c r="EA51" s="3"/>
      <c r="EB51" s="6"/>
      <c r="EC51" s="6"/>
      <c r="ED51" s="36"/>
      <c r="EE51" s="3"/>
      <c r="EF51" s="3"/>
      <c r="EG51" s="10"/>
      <c r="EH51" s="3"/>
      <c r="EI51" s="7"/>
      <c r="EJ51" s="7"/>
      <c r="EK51" s="7"/>
      <c r="EL51" s="3"/>
      <c r="EM51" s="3"/>
      <c r="EN51" s="3"/>
      <c r="EO51" s="3"/>
      <c r="EP51" s="3"/>
      <c r="EQ51" s="7"/>
      <c r="ER51" s="7"/>
      <c r="ES51" s="3"/>
      <c r="ET51" s="3"/>
      <c r="EU51" s="3"/>
      <c r="EV51" s="3"/>
      <c r="EW51" s="3"/>
      <c r="EX51" s="3"/>
      <c r="EY51" s="7"/>
      <c r="EZ51" s="7"/>
      <c r="FA51" s="7"/>
      <c r="FB51" s="3"/>
      <c r="FC51" s="3"/>
      <c r="FD51" s="3"/>
      <c r="FE51" s="3"/>
      <c r="FF51" s="3"/>
      <c r="FG51" s="7"/>
      <c r="FH51" s="7"/>
      <c r="FI51" s="3"/>
      <c r="FJ51" s="3"/>
      <c r="FK51" s="3"/>
      <c r="FL51" s="9"/>
      <c r="FM51" s="58"/>
      <c r="FN51" s="9"/>
      <c r="FO51" s="9"/>
      <c r="FP51" s="9"/>
      <c r="FQ51" s="7"/>
      <c r="FR51" s="6"/>
      <c r="FS51" s="6"/>
      <c r="FT51" s="118"/>
      <c r="FU51" s="118"/>
    </row>
    <row r="52" spans="1:177" ht="22.05" customHeight="1">
      <c r="A52" s="128" t="s">
        <v>356</v>
      </c>
      <c r="B52" s="128"/>
      <c r="K52" s="9"/>
      <c r="L52" s="9"/>
      <c r="Q52"/>
      <c r="CM52" s="1"/>
      <c r="CN52" s="1"/>
      <c r="CO52" s="2"/>
      <c r="CP52" s="2"/>
      <c r="CQ52" s="2"/>
      <c r="CR52" s="2"/>
      <c r="CS52" s="2"/>
      <c r="CT52" s="2"/>
      <c r="CU52" s="2"/>
      <c r="CV52" s="3"/>
      <c r="CW52" s="3"/>
      <c r="CX52" s="2"/>
      <c r="CY52" s="69"/>
      <c r="CZ52" s="3"/>
      <c r="DA52" s="3"/>
      <c r="DB52" s="6"/>
      <c r="DC52" s="10"/>
      <c r="DD52" s="3"/>
      <c r="DE52" s="18"/>
      <c r="DF52" s="13"/>
      <c r="DG52" s="10"/>
      <c r="DH52" s="3"/>
      <c r="DI52" s="18"/>
      <c r="DJ52" s="13"/>
      <c r="DK52" s="10"/>
      <c r="DL52" s="6"/>
      <c r="DM52" s="10"/>
      <c r="DN52" s="3"/>
      <c r="DO52" s="3"/>
      <c r="DP52" s="3"/>
      <c r="DQ52" s="18"/>
      <c r="DR52" s="13"/>
      <c r="DS52" s="10"/>
      <c r="DT52" s="3"/>
      <c r="DU52" s="3"/>
      <c r="DV52" s="3"/>
      <c r="DW52" s="3"/>
      <c r="DX52" s="3"/>
      <c r="DY52" s="3"/>
      <c r="DZ52" s="3"/>
      <c r="EA52" s="3"/>
      <c r="EB52" s="6"/>
      <c r="EC52" s="6"/>
      <c r="ED52" s="10"/>
      <c r="EE52" s="3"/>
      <c r="EF52" s="18"/>
      <c r="EG52" s="13"/>
      <c r="EH52" s="10"/>
      <c r="EI52" s="7"/>
      <c r="EJ52" s="7"/>
      <c r="EK52" s="7"/>
      <c r="EL52" s="3"/>
      <c r="EM52" s="3"/>
      <c r="EN52" s="3"/>
      <c r="EO52" s="3"/>
      <c r="EP52" s="3"/>
      <c r="EQ52" s="7"/>
      <c r="ER52" s="7"/>
      <c r="ES52" s="3"/>
      <c r="ET52" s="3"/>
      <c r="EU52" s="3"/>
      <c r="EV52" s="3"/>
      <c r="EW52" s="3"/>
      <c r="EX52" s="3"/>
      <c r="EY52" s="7"/>
      <c r="EZ52" s="7"/>
      <c r="FA52" s="7"/>
      <c r="FB52" s="3"/>
      <c r="FC52" s="3"/>
      <c r="FD52" s="3"/>
      <c r="FE52" s="3"/>
      <c r="FF52" s="3"/>
      <c r="FG52" s="7"/>
      <c r="FH52" s="7"/>
      <c r="FI52" s="3"/>
      <c r="FJ52" s="3"/>
      <c r="FK52" s="3"/>
      <c r="FL52" s="58"/>
      <c r="FM52" s="19"/>
      <c r="FN52" s="19"/>
      <c r="FO52" s="31"/>
      <c r="FP52" s="9"/>
      <c r="FQ52" s="7"/>
      <c r="FR52" s="6"/>
      <c r="FS52" s="6"/>
      <c r="FT52" s="128" t="s">
        <v>356</v>
      </c>
      <c r="FU52" s="128"/>
    </row>
    <row r="53" spans="1:177" ht="22.05" customHeight="1">
      <c r="A53" s="128"/>
      <c r="B53" s="128"/>
      <c r="CM53" s="1"/>
      <c r="CN53" s="1"/>
      <c r="CO53" s="2"/>
      <c r="CP53" s="2"/>
      <c r="CQ53" s="2"/>
      <c r="CR53" s="2"/>
      <c r="CS53" s="2"/>
      <c r="CT53" s="2"/>
      <c r="CU53" s="2"/>
      <c r="CV53" s="3"/>
      <c r="CW53" s="3"/>
      <c r="CX53" s="2"/>
      <c r="CY53" s="69"/>
      <c r="CZ53" s="3"/>
      <c r="DA53" s="3"/>
      <c r="DB53" s="116" t="s">
        <v>1</v>
      </c>
      <c r="DC53" s="116"/>
      <c r="DD53" s="116" t="s">
        <v>1</v>
      </c>
      <c r="DE53" s="116"/>
      <c r="DF53" s="116" t="s">
        <v>1</v>
      </c>
      <c r="DG53" s="116"/>
      <c r="DH53" s="116" t="s">
        <v>1</v>
      </c>
      <c r="DI53" s="116"/>
      <c r="DJ53" s="116" t="s">
        <v>1</v>
      </c>
      <c r="DK53" s="116"/>
      <c r="DL53" s="116" t="s">
        <v>1</v>
      </c>
      <c r="DM53" s="116"/>
      <c r="DN53" s="3"/>
      <c r="DO53" s="3"/>
      <c r="DP53" s="116" t="s">
        <v>1</v>
      </c>
      <c r="DQ53" s="116"/>
      <c r="DR53" s="116" t="s">
        <v>1</v>
      </c>
      <c r="DS53" s="116"/>
      <c r="DT53" s="3"/>
      <c r="DU53" s="3"/>
      <c r="DV53" s="3"/>
      <c r="DW53" s="3"/>
      <c r="DX53" s="3"/>
      <c r="DY53" s="3"/>
      <c r="DZ53" s="3"/>
      <c r="EA53" s="3"/>
      <c r="EB53" s="6"/>
      <c r="EC53" s="116" t="s">
        <v>1</v>
      </c>
      <c r="ED53" s="116"/>
      <c r="EE53" s="116" t="s">
        <v>1</v>
      </c>
      <c r="EF53" s="116"/>
      <c r="EG53" s="116" t="s">
        <v>1</v>
      </c>
      <c r="EH53" s="116"/>
      <c r="EI53" s="7"/>
      <c r="EJ53" s="7"/>
      <c r="EK53" s="7"/>
      <c r="EL53" s="3"/>
      <c r="EM53" s="3"/>
      <c r="EN53" s="3"/>
      <c r="EO53" s="3"/>
      <c r="EP53" s="3"/>
      <c r="EQ53" s="7"/>
      <c r="ER53" s="7"/>
      <c r="ES53" s="3"/>
      <c r="ET53" s="3"/>
      <c r="EU53" s="3"/>
      <c r="EV53" s="3"/>
      <c r="EW53" s="3"/>
      <c r="EX53" s="3"/>
      <c r="EY53" s="7"/>
      <c r="EZ53" s="7"/>
      <c r="FA53" s="7"/>
      <c r="FB53" s="3"/>
      <c r="FC53" s="3"/>
      <c r="FD53" s="3"/>
      <c r="FE53" s="3"/>
      <c r="FF53" s="3"/>
      <c r="FG53" s="7"/>
      <c r="FH53" s="7"/>
      <c r="FI53" s="3"/>
      <c r="FJ53" s="3"/>
      <c r="FK53" s="3"/>
      <c r="FL53" s="116" t="s">
        <v>312</v>
      </c>
      <c r="FM53" s="116"/>
      <c r="FN53" s="116" t="s">
        <v>312</v>
      </c>
      <c r="FO53" s="116"/>
      <c r="FP53" s="3"/>
      <c r="FQ53" s="7"/>
      <c r="FR53" s="6"/>
      <c r="FS53" s="6"/>
      <c r="FT53" s="128"/>
      <c r="FU53" s="128"/>
    </row>
    <row r="54" spans="1:177" ht="22.05" customHeight="1">
      <c r="A54" s="128"/>
      <c r="B54" s="128"/>
      <c r="CM54" s="1"/>
      <c r="CN54" s="1"/>
      <c r="CO54" s="2"/>
      <c r="CP54" s="2"/>
      <c r="CQ54" s="2"/>
      <c r="CR54" s="2"/>
      <c r="CS54" s="2"/>
      <c r="CT54" s="2"/>
      <c r="CU54" s="2"/>
      <c r="CV54" s="3"/>
      <c r="CW54" s="3"/>
      <c r="CX54" s="2"/>
      <c r="CY54" s="69"/>
      <c r="CZ54" s="3"/>
      <c r="DA54" s="3"/>
      <c r="DB54" s="116" t="s">
        <v>94</v>
      </c>
      <c r="DC54" s="116"/>
      <c r="DD54" s="116" t="s">
        <v>95</v>
      </c>
      <c r="DE54" s="116"/>
      <c r="DF54" s="116" t="s">
        <v>96</v>
      </c>
      <c r="DG54" s="116"/>
      <c r="DH54" s="116" t="s">
        <v>97</v>
      </c>
      <c r="DI54" s="116"/>
      <c r="DJ54" s="116" t="s">
        <v>97</v>
      </c>
      <c r="DK54" s="116"/>
      <c r="DL54" s="116" t="s">
        <v>98</v>
      </c>
      <c r="DM54" s="116"/>
      <c r="DN54" s="3"/>
      <c r="DO54" s="3"/>
      <c r="DP54" s="116" t="s">
        <v>25</v>
      </c>
      <c r="DQ54" s="116"/>
      <c r="DR54" s="116" t="s">
        <v>99</v>
      </c>
      <c r="DS54" s="116"/>
      <c r="DT54" s="3"/>
      <c r="DU54" s="3"/>
      <c r="DV54" s="3"/>
      <c r="DW54" s="3"/>
      <c r="DX54" s="3"/>
      <c r="DY54" s="3"/>
      <c r="DZ54" s="3"/>
      <c r="EA54" s="3"/>
      <c r="EB54" s="6"/>
      <c r="EC54" s="116" t="s">
        <v>100</v>
      </c>
      <c r="ED54" s="116"/>
      <c r="EE54" s="116" t="s">
        <v>101</v>
      </c>
      <c r="EF54" s="116"/>
      <c r="EG54" s="116" t="s">
        <v>102</v>
      </c>
      <c r="EH54" s="116"/>
      <c r="EI54" s="7"/>
      <c r="EJ54" s="7"/>
      <c r="EK54" s="7"/>
      <c r="EL54" s="3"/>
      <c r="EM54" s="3"/>
      <c r="EN54" s="3"/>
      <c r="EO54" s="3"/>
      <c r="EP54" s="3"/>
      <c r="EQ54" s="7"/>
      <c r="ER54" s="7"/>
      <c r="ES54" s="3"/>
      <c r="ET54" s="3"/>
      <c r="EU54" s="3"/>
      <c r="EV54" s="3"/>
      <c r="EW54" s="3"/>
      <c r="EX54" s="3"/>
      <c r="EY54" s="7"/>
      <c r="EZ54" s="7"/>
      <c r="FA54" s="7"/>
      <c r="FB54" s="3"/>
      <c r="FC54" s="3"/>
      <c r="FD54" s="3"/>
      <c r="FE54" s="3"/>
      <c r="FF54" s="3"/>
      <c r="FG54" s="7"/>
      <c r="FH54" s="7"/>
      <c r="FI54" s="3"/>
      <c r="FJ54" s="3"/>
      <c r="FK54" s="3"/>
      <c r="FL54" s="116" t="s">
        <v>310</v>
      </c>
      <c r="FM54" s="116"/>
      <c r="FN54" s="116" t="s">
        <v>310</v>
      </c>
      <c r="FO54" s="116"/>
      <c r="FP54" s="3"/>
      <c r="FQ54" s="7"/>
      <c r="FR54" s="6"/>
      <c r="FS54" s="6"/>
      <c r="FT54" s="128"/>
      <c r="FU54" s="128"/>
    </row>
    <row r="55" spans="1:177" ht="22.05" customHeight="1">
      <c r="A55" s="128"/>
      <c r="B55" s="128"/>
      <c r="CM55" s="1"/>
      <c r="CN55" s="1"/>
      <c r="CO55" s="2"/>
      <c r="CP55" s="2"/>
      <c r="CQ55" s="2"/>
      <c r="CR55" s="2"/>
      <c r="CS55" s="2"/>
      <c r="CT55" s="2"/>
      <c r="CU55" s="2"/>
      <c r="CV55" s="3"/>
      <c r="CW55" s="3"/>
      <c r="CX55" s="2"/>
      <c r="CY55" s="69"/>
      <c r="CZ55" s="3"/>
      <c r="DA55" s="3"/>
      <c r="DB55" s="116" t="s">
        <v>103</v>
      </c>
      <c r="DC55" s="116"/>
      <c r="DD55" s="116" t="s">
        <v>104</v>
      </c>
      <c r="DE55" s="116"/>
      <c r="DF55" s="116" t="s">
        <v>104</v>
      </c>
      <c r="DG55" s="116"/>
      <c r="DH55" s="116" t="s">
        <v>105</v>
      </c>
      <c r="DI55" s="116"/>
      <c r="DJ55" s="116" t="s">
        <v>106</v>
      </c>
      <c r="DK55" s="116"/>
      <c r="DL55" s="116" t="s">
        <v>107</v>
      </c>
      <c r="DM55" s="116"/>
      <c r="DN55" s="3"/>
      <c r="DO55" s="3"/>
      <c r="DP55" s="116" t="s">
        <v>108</v>
      </c>
      <c r="DQ55" s="116"/>
      <c r="DR55" s="116" t="s">
        <v>66</v>
      </c>
      <c r="DS55" s="116"/>
      <c r="DT55" s="3"/>
      <c r="DU55" s="3"/>
      <c r="DV55" s="3"/>
      <c r="DW55" s="3"/>
      <c r="DX55" s="3"/>
      <c r="DY55" s="3"/>
      <c r="DZ55" s="3"/>
      <c r="EA55" s="3"/>
      <c r="EB55" s="6"/>
      <c r="EC55" s="116" t="s">
        <v>109</v>
      </c>
      <c r="ED55" s="116"/>
      <c r="EE55" s="6"/>
      <c r="EF55" s="6"/>
      <c r="EG55" s="7"/>
      <c r="EH55" s="7"/>
      <c r="EI55" s="7"/>
      <c r="EJ55" s="7"/>
      <c r="EK55" s="7"/>
      <c r="EL55" s="3"/>
      <c r="EM55" s="3"/>
      <c r="EN55" s="3"/>
      <c r="EO55" s="3"/>
      <c r="EQ55" s="7"/>
      <c r="ER55" s="7"/>
      <c r="FL55" s="116" t="s">
        <v>160</v>
      </c>
      <c r="FM55" s="116"/>
      <c r="FN55" s="116" t="s">
        <v>202</v>
      </c>
      <c r="FO55" s="116"/>
      <c r="FP55" s="3"/>
      <c r="FT55" s="128"/>
      <c r="FU55" s="128"/>
    </row>
    <row r="56" spans="1:177" ht="22.05" customHeight="1">
      <c r="A56" s="99"/>
      <c r="B56" s="99"/>
      <c r="FT56" s="99"/>
      <c r="FU56" s="99"/>
    </row>
    <row r="57" spans="1:177" ht="22.05" customHeight="1">
      <c r="BT57" s="9"/>
      <c r="BU57" s="7"/>
    </row>
    <row r="58" spans="1:177" ht="22.05" customHeight="1">
      <c r="BT58" s="9"/>
      <c r="BU58" s="9"/>
    </row>
    <row r="59" spans="1:177" ht="22.05" customHeight="1">
      <c r="BT59" s="9"/>
      <c r="BU59" s="9"/>
    </row>
    <row r="60" spans="1:177" ht="22.05" customHeight="1">
      <c r="BT60" s="9"/>
      <c r="BU60" s="9"/>
    </row>
    <row r="61" spans="1:177" ht="22.05" customHeight="1">
      <c r="BT61" s="9"/>
      <c r="BU61" s="9"/>
    </row>
    <row r="62" spans="1:177" ht="22.05" customHeight="1">
      <c r="BT62" s="9"/>
      <c r="BU62" s="9"/>
    </row>
    <row r="63" spans="1:177" ht="22.05" customHeight="1">
      <c r="BT63" s="9"/>
      <c r="BU63" s="9"/>
    </row>
    <row r="64" spans="1:177" ht="22.05" customHeight="1">
      <c r="BT64" s="9"/>
      <c r="BU64" s="9"/>
    </row>
    <row r="65" spans="72:73" ht="22.05" customHeight="1">
      <c r="BT65" s="9"/>
      <c r="BU65" s="9"/>
    </row>
    <row r="66" spans="72:73" ht="22.05" customHeight="1">
      <c r="BT66" s="9"/>
      <c r="BU66" s="9"/>
    </row>
    <row r="67" spans="72:73" ht="22.05" customHeight="1">
      <c r="BT67" s="9"/>
      <c r="BU67" s="9"/>
    </row>
    <row r="68" spans="72:73" ht="22.05" customHeight="1">
      <c r="BT68" s="9"/>
      <c r="BU68" s="9"/>
    </row>
    <row r="69" spans="72:73" ht="22.05" customHeight="1">
      <c r="BT69" s="9"/>
      <c r="BU69" s="9"/>
    </row>
    <row r="70" spans="72:73" ht="22.05" customHeight="1">
      <c r="BT70" s="9"/>
      <c r="BU70" s="9"/>
    </row>
    <row r="71" spans="72:73" ht="22.05" customHeight="1">
      <c r="BT71" s="9"/>
      <c r="BU71" s="9"/>
    </row>
    <row r="72" spans="72:73" ht="22.05" customHeight="1">
      <c r="BT72" s="9"/>
      <c r="BU72" s="9"/>
    </row>
    <row r="73" spans="72:73" ht="22.05" customHeight="1">
      <c r="BT73" s="9"/>
      <c r="BU73" s="9"/>
    </row>
    <row r="74" spans="72:73" ht="22.05" customHeight="1">
      <c r="BT74" s="3"/>
      <c r="BU74" s="9"/>
    </row>
    <row r="75" spans="72:73" ht="22.05" customHeight="1">
      <c r="BT75" s="7"/>
      <c r="BU75" s="3"/>
    </row>
    <row r="76" spans="72:73" ht="22.05" customHeight="1">
      <c r="BT76" s="7"/>
      <c r="BU76" s="7"/>
    </row>
    <row r="77" spans="72:73" ht="22.05" customHeight="1">
      <c r="BT77" s="7"/>
      <c r="BU77" s="7"/>
    </row>
    <row r="78" spans="72:73" ht="22.05" customHeight="1">
      <c r="BT78" s="7"/>
      <c r="BU78" s="7"/>
    </row>
    <row r="79" spans="72:73" ht="22.05" customHeight="1">
      <c r="BT79" s="7"/>
      <c r="BU79" s="7"/>
    </row>
    <row r="80" spans="72:73" ht="22.05" customHeight="1">
      <c r="BT80" s="7"/>
      <c r="BU80" s="7"/>
    </row>
    <row r="81" spans="72:73" ht="22.05" customHeight="1">
      <c r="BT81" s="7"/>
      <c r="BU81" s="7"/>
    </row>
    <row r="82" spans="72:73" ht="22.05" customHeight="1">
      <c r="BT82" s="7"/>
      <c r="BU82" s="7"/>
    </row>
    <row r="83" spans="72:73" ht="22.05" customHeight="1">
      <c r="BT83" s="7"/>
      <c r="BU83" s="7"/>
    </row>
    <row r="84" spans="72:73" ht="22.05" customHeight="1">
      <c r="BT84" s="7"/>
      <c r="BU84" s="7"/>
    </row>
    <row r="85" spans="72:73" ht="22.05" customHeight="1">
      <c r="BT85" s="7"/>
      <c r="BU85" s="7"/>
    </row>
  </sheetData>
  <mergeCells count="529">
    <mergeCell ref="EC55:ED55"/>
    <mergeCell ref="FL55:FM55"/>
    <mergeCell ref="FN55:FO55"/>
    <mergeCell ref="EE54:EF54"/>
    <mergeCell ref="EG54:EH54"/>
    <mergeCell ref="FL54:FM54"/>
    <mergeCell ref="FN54:FO54"/>
    <mergeCell ref="CE10:CF10"/>
    <mergeCell ref="CE12:CF12"/>
    <mergeCell ref="CE14:CF14"/>
    <mergeCell ref="CE16:CF16"/>
    <mergeCell ref="CE18:CF18"/>
    <mergeCell ref="CE19:CF19"/>
    <mergeCell ref="CE20:CF20"/>
    <mergeCell ref="CL23:CM23"/>
    <mergeCell ref="CL24:CM24"/>
    <mergeCell ref="CL25:CM25"/>
    <mergeCell ref="DB55:DC55"/>
    <mergeCell ref="DD55:DE55"/>
    <mergeCell ref="DF55:DG55"/>
    <mergeCell ref="DH55:DI55"/>
    <mergeCell ref="DJ55:DK55"/>
    <mergeCell ref="DL55:DM55"/>
    <mergeCell ref="FN53:FO53"/>
    <mergeCell ref="DB54:DC54"/>
    <mergeCell ref="DD54:DE54"/>
    <mergeCell ref="DF54:DG54"/>
    <mergeCell ref="DH54:DI54"/>
    <mergeCell ref="DJ54:DK54"/>
    <mergeCell ref="DL54:DM54"/>
    <mergeCell ref="DP54:DQ54"/>
    <mergeCell ref="DR54:DS54"/>
    <mergeCell ref="EC54:ED54"/>
    <mergeCell ref="DP53:DQ53"/>
    <mergeCell ref="DR53:DS53"/>
    <mergeCell ref="EC53:ED53"/>
    <mergeCell ref="EE53:EF53"/>
    <mergeCell ref="EG53:EH53"/>
    <mergeCell ref="FL53:FM53"/>
    <mergeCell ref="DP55:DQ55"/>
    <mergeCell ref="DR55:DS55"/>
    <mergeCell ref="EN50:EO50"/>
    <mergeCell ref="FM50:FN50"/>
    <mergeCell ref="A52:B55"/>
    <mergeCell ref="FT52:FU55"/>
    <mergeCell ref="DB53:DC53"/>
    <mergeCell ref="DD53:DE53"/>
    <mergeCell ref="DF53:DG53"/>
    <mergeCell ref="DH53:DI53"/>
    <mergeCell ref="DJ53:DK53"/>
    <mergeCell ref="DL53:DM53"/>
    <mergeCell ref="DW50:DX50"/>
    <mergeCell ref="EA50:EB50"/>
    <mergeCell ref="EC50:ED50"/>
    <mergeCell ref="EF50:EG50"/>
    <mergeCell ref="EH50:EI50"/>
    <mergeCell ref="EL50:EM50"/>
    <mergeCell ref="DI50:DJ50"/>
    <mergeCell ref="DL50:DM50"/>
    <mergeCell ref="DN50:DO50"/>
    <mergeCell ref="DQ50:DR50"/>
    <mergeCell ref="DS50:DT50"/>
    <mergeCell ref="DU50:DV50"/>
    <mergeCell ref="CT50:CU50"/>
    <mergeCell ref="CV50:CW50"/>
    <mergeCell ref="CX50:CY50"/>
    <mergeCell ref="CZ50:DA50"/>
    <mergeCell ref="DB50:DC50"/>
    <mergeCell ref="DE50:DF50"/>
    <mergeCell ref="CB50:CC50"/>
    <mergeCell ref="CD50:CE50"/>
    <mergeCell ref="CG50:CH50"/>
    <mergeCell ref="CI50:CJ50"/>
    <mergeCell ref="CP50:CQ50"/>
    <mergeCell ref="CR50:CS50"/>
    <mergeCell ref="BF50:BG50"/>
    <mergeCell ref="BP50:BQ50"/>
    <mergeCell ref="BR50:BS50"/>
    <mergeCell ref="BT50:BU50"/>
    <mergeCell ref="BV50:BW50"/>
    <mergeCell ref="BZ50:CA50"/>
    <mergeCell ref="AI50:AJ50"/>
    <mergeCell ref="AR50:AS50"/>
    <mergeCell ref="AT50:AU50"/>
    <mergeCell ref="AW50:AX50"/>
    <mergeCell ref="BB50:BC50"/>
    <mergeCell ref="BD50:BE50"/>
    <mergeCell ref="EN49:EO49"/>
    <mergeCell ref="FM49:FN49"/>
    <mergeCell ref="D50:E50"/>
    <mergeCell ref="H50:I50"/>
    <mergeCell ref="M50:N50"/>
    <mergeCell ref="R50:S50"/>
    <mergeCell ref="T50:U50"/>
    <mergeCell ref="V50:W50"/>
    <mergeCell ref="Z50:AA50"/>
    <mergeCell ref="AG50:AH50"/>
    <mergeCell ref="DW49:DX49"/>
    <mergeCell ref="EA49:EB49"/>
    <mergeCell ref="EC49:ED49"/>
    <mergeCell ref="EF49:EG49"/>
    <mergeCell ref="EH49:EI49"/>
    <mergeCell ref="EL49:EM49"/>
    <mergeCell ref="DI49:DJ49"/>
    <mergeCell ref="DL49:DM49"/>
    <mergeCell ref="DN49:DO49"/>
    <mergeCell ref="DQ49:DR49"/>
    <mergeCell ref="DS49:DT49"/>
    <mergeCell ref="DU49:DV49"/>
    <mergeCell ref="CT49:CU49"/>
    <mergeCell ref="CV49:CW49"/>
    <mergeCell ref="CX49:CY49"/>
    <mergeCell ref="CZ49:DA49"/>
    <mergeCell ref="DB49:DC49"/>
    <mergeCell ref="DE49:DF49"/>
    <mergeCell ref="CB49:CC49"/>
    <mergeCell ref="CD49:CE49"/>
    <mergeCell ref="CG49:CH49"/>
    <mergeCell ref="CI49:CJ49"/>
    <mergeCell ref="CP49:CQ49"/>
    <mergeCell ref="CR49:CS49"/>
    <mergeCell ref="BP49:BQ49"/>
    <mergeCell ref="BR49:BS49"/>
    <mergeCell ref="BT49:BU49"/>
    <mergeCell ref="BV49:BW49"/>
    <mergeCell ref="BZ49:CA49"/>
    <mergeCell ref="AI49:AJ49"/>
    <mergeCell ref="AR49:AS49"/>
    <mergeCell ref="AT49:AU49"/>
    <mergeCell ref="AW49:AX49"/>
    <mergeCell ref="BB49:BC49"/>
    <mergeCell ref="BD49:BE49"/>
    <mergeCell ref="FM48:FN48"/>
    <mergeCell ref="D49:E49"/>
    <mergeCell ref="H49:I49"/>
    <mergeCell ref="M49:N49"/>
    <mergeCell ref="R49:S49"/>
    <mergeCell ref="T49:U49"/>
    <mergeCell ref="V49:W49"/>
    <mergeCell ref="Z49:AA49"/>
    <mergeCell ref="AG49:AH49"/>
    <mergeCell ref="DW48:DX48"/>
    <mergeCell ref="EA48:EB48"/>
    <mergeCell ref="EC48:ED48"/>
    <mergeCell ref="EF48:EG48"/>
    <mergeCell ref="EH48:EI48"/>
    <mergeCell ref="EL48:EM48"/>
    <mergeCell ref="DI48:DJ48"/>
    <mergeCell ref="DL48:DM48"/>
    <mergeCell ref="DN48:DO48"/>
    <mergeCell ref="DQ48:DR48"/>
    <mergeCell ref="DS48:DT48"/>
    <mergeCell ref="DU48:DV48"/>
    <mergeCell ref="CT48:CU48"/>
    <mergeCell ref="CV48:CW48"/>
    <mergeCell ref="BF49:BG49"/>
    <mergeCell ref="DB48:DC48"/>
    <mergeCell ref="DE48:DF48"/>
    <mergeCell ref="CB48:CC48"/>
    <mergeCell ref="CD48:CE48"/>
    <mergeCell ref="CG48:CH48"/>
    <mergeCell ref="CI48:CJ48"/>
    <mergeCell ref="CP48:CQ48"/>
    <mergeCell ref="CR48:CS48"/>
    <mergeCell ref="EN48:EO48"/>
    <mergeCell ref="A47:B51"/>
    <mergeCell ref="FT47:FU51"/>
    <mergeCell ref="D48:E48"/>
    <mergeCell ref="H48:I48"/>
    <mergeCell ref="M48:N48"/>
    <mergeCell ref="R48:S48"/>
    <mergeCell ref="T48:U48"/>
    <mergeCell ref="V48:W48"/>
    <mergeCell ref="Z48:AA48"/>
    <mergeCell ref="AG48:AH48"/>
    <mergeCell ref="BF48:BG48"/>
    <mergeCell ref="BP48:BQ48"/>
    <mergeCell ref="BR48:BS48"/>
    <mergeCell ref="BT48:BU48"/>
    <mergeCell ref="BV48:BW48"/>
    <mergeCell ref="BZ48:CA48"/>
    <mergeCell ref="AI48:AJ48"/>
    <mergeCell ref="AR48:AS48"/>
    <mergeCell ref="AT48:AU48"/>
    <mergeCell ref="AW48:AX48"/>
    <mergeCell ref="BB48:BC48"/>
    <mergeCell ref="BD48:BE48"/>
    <mergeCell ref="CX48:CY48"/>
    <mergeCell ref="CZ48:DA48"/>
    <mergeCell ref="EN45:EO45"/>
    <mergeCell ref="EQ45:ER45"/>
    <mergeCell ref="FE45:FF45"/>
    <mergeCell ref="FG45:FH45"/>
    <mergeCell ref="FM45:FN45"/>
    <mergeCell ref="FQ45:FR45"/>
    <mergeCell ref="DY45:DZ45"/>
    <mergeCell ref="EA45:EB45"/>
    <mergeCell ref="EC45:ED45"/>
    <mergeCell ref="EG45:EH45"/>
    <mergeCell ref="EI45:EJ45"/>
    <mergeCell ref="EL45:EM45"/>
    <mergeCell ref="CZ45:DA45"/>
    <mergeCell ref="DF45:DG45"/>
    <mergeCell ref="DM45:DN45"/>
    <mergeCell ref="DR45:DS45"/>
    <mergeCell ref="DU45:DV45"/>
    <mergeCell ref="DW45:DX45"/>
    <mergeCell ref="CF45:CG45"/>
    <mergeCell ref="CH45:CI45"/>
    <mergeCell ref="CM45:CN45"/>
    <mergeCell ref="CP45:CQ45"/>
    <mergeCell ref="CS45:CT45"/>
    <mergeCell ref="CW45:CX45"/>
    <mergeCell ref="BN45:BO45"/>
    <mergeCell ref="BP45:BQ45"/>
    <mergeCell ref="BT45:BU45"/>
    <mergeCell ref="BX45:BY45"/>
    <mergeCell ref="CA45:CB45"/>
    <mergeCell ref="CD45:CE45"/>
    <mergeCell ref="AW45:AX45"/>
    <mergeCell ref="AY45:AZ45"/>
    <mergeCell ref="BA45:BB45"/>
    <mergeCell ref="BC45:BD45"/>
    <mergeCell ref="BF45:BG45"/>
    <mergeCell ref="BL45:BM45"/>
    <mergeCell ref="AK45:AL45"/>
    <mergeCell ref="AM45:AN45"/>
    <mergeCell ref="AO45:AP45"/>
    <mergeCell ref="AQ45:AR45"/>
    <mergeCell ref="AS45:AT45"/>
    <mergeCell ref="AU45:AV45"/>
    <mergeCell ref="X45:Y45"/>
    <mergeCell ref="Z45:AA45"/>
    <mergeCell ref="AB45:AC45"/>
    <mergeCell ref="AD45:AE45"/>
    <mergeCell ref="AF45:AG45"/>
    <mergeCell ref="AH45:AI45"/>
    <mergeCell ref="EQ44:ER44"/>
    <mergeCell ref="FE44:FF44"/>
    <mergeCell ref="FG44:FH44"/>
    <mergeCell ref="FM44:FN44"/>
    <mergeCell ref="FQ44:FR44"/>
    <mergeCell ref="D45:E45"/>
    <mergeCell ref="H45:I45"/>
    <mergeCell ref="M45:N45"/>
    <mergeCell ref="S45:T45"/>
    <mergeCell ref="V45:W45"/>
    <mergeCell ref="EA44:EB44"/>
    <mergeCell ref="EC44:ED44"/>
    <mergeCell ref="EG44:EH44"/>
    <mergeCell ref="EI44:EJ44"/>
    <mergeCell ref="EL44:EM44"/>
    <mergeCell ref="EN44:EO44"/>
    <mergeCell ref="DF44:DG44"/>
    <mergeCell ref="DM44:DN44"/>
    <mergeCell ref="DR44:DS44"/>
    <mergeCell ref="DU44:DV44"/>
    <mergeCell ref="DW44:DX44"/>
    <mergeCell ref="DY44:DZ44"/>
    <mergeCell ref="CH44:CI44"/>
    <mergeCell ref="CM44:CN44"/>
    <mergeCell ref="CP44:CQ44"/>
    <mergeCell ref="CS44:CT44"/>
    <mergeCell ref="CW44:CX44"/>
    <mergeCell ref="CZ44:DA44"/>
    <mergeCell ref="BP44:BQ44"/>
    <mergeCell ref="BT44:BU44"/>
    <mergeCell ref="BX44:BY44"/>
    <mergeCell ref="CA44:CB44"/>
    <mergeCell ref="CD44:CE44"/>
    <mergeCell ref="CF44:CG44"/>
    <mergeCell ref="AY44:AZ44"/>
    <mergeCell ref="BA44:BB44"/>
    <mergeCell ref="BC44:BD44"/>
    <mergeCell ref="BF44:BG44"/>
    <mergeCell ref="BL44:BM44"/>
    <mergeCell ref="BN44:BO44"/>
    <mergeCell ref="AM44:AN44"/>
    <mergeCell ref="AO44:AP44"/>
    <mergeCell ref="AQ44:AR44"/>
    <mergeCell ref="AS44:AT44"/>
    <mergeCell ref="AU44:AV44"/>
    <mergeCell ref="AW44:AX44"/>
    <mergeCell ref="Z44:AA44"/>
    <mergeCell ref="AB44:AC44"/>
    <mergeCell ref="AD44:AE44"/>
    <mergeCell ref="AF44:AG44"/>
    <mergeCell ref="AH44:AI44"/>
    <mergeCell ref="AK44:AL44"/>
    <mergeCell ref="D44:E44"/>
    <mergeCell ref="H44:I44"/>
    <mergeCell ref="M44:N44"/>
    <mergeCell ref="S44:T44"/>
    <mergeCell ref="V44:W44"/>
    <mergeCell ref="X44:Y44"/>
    <mergeCell ref="EN43:EO43"/>
    <mergeCell ref="EQ43:ER43"/>
    <mergeCell ref="FE43:FF43"/>
    <mergeCell ref="FG43:FH43"/>
    <mergeCell ref="FM43:FN43"/>
    <mergeCell ref="FQ43:FR43"/>
    <mergeCell ref="DY43:DZ43"/>
    <mergeCell ref="EA43:EB43"/>
    <mergeCell ref="EC43:ED43"/>
    <mergeCell ref="EG43:EH43"/>
    <mergeCell ref="EI43:EJ43"/>
    <mergeCell ref="EL43:EM43"/>
    <mergeCell ref="CZ43:DA43"/>
    <mergeCell ref="DF43:DG43"/>
    <mergeCell ref="DM43:DN43"/>
    <mergeCell ref="DR43:DS43"/>
    <mergeCell ref="DU43:DV43"/>
    <mergeCell ref="DW43:DX43"/>
    <mergeCell ref="CF43:CG43"/>
    <mergeCell ref="CH43:CI43"/>
    <mergeCell ref="CM43:CN43"/>
    <mergeCell ref="CP43:CQ43"/>
    <mergeCell ref="CS43:CT43"/>
    <mergeCell ref="CW43:CX43"/>
    <mergeCell ref="BN43:BO43"/>
    <mergeCell ref="BP43:BQ43"/>
    <mergeCell ref="BT43:BU43"/>
    <mergeCell ref="BX43:BY43"/>
    <mergeCell ref="CA43:CB43"/>
    <mergeCell ref="CD43:CE43"/>
    <mergeCell ref="AW43:AX43"/>
    <mergeCell ref="AY43:AZ43"/>
    <mergeCell ref="BA43:BB43"/>
    <mergeCell ref="BC43:BD43"/>
    <mergeCell ref="BF43:BG43"/>
    <mergeCell ref="BL43:BM43"/>
    <mergeCell ref="AK43:AL43"/>
    <mergeCell ref="AM43:AN43"/>
    <mergeCell ref="AO43:AP43"/>
    <mergeCell ref="AQ43:AR43"/>
    <mergeCell ref="AS43:AT43"/>
    <mergeCell ref="AU43:AV43"/>
    <mergeCell ref="X43:Y43"/>
    <mergeCell ref="Z43:AA43"/>
    <mergeCell ref="AB43:AC43"/>
    <mergeCell ref="AD43:AE43"/>
    <mergeCell ref="AF43:AG43"/>
    <mergeCell ref="AH43:AI43"/>
    <mergeCell ref="FO40:FP40"/>
    <mergeCell ref="CM41:CN41"/>
    <mergeCell ref="A42:B46"/>
    <mergeCell ref="CM42:CN42"/>
    <mergeCell ref="FT42:FU46"/>
    <mergeCell ref="D43:E43"/>
    <mergeCell ref="H43:I43"/>
    <mergeCell ref="M43:N43"/>
    <mergeCell ref="S43:T43"/>
    <mergeCell ref="V43:W43"/>
    <mergeCell ref="EQ40:ER40"/>
    <mergeCell ref="EU40:EV40"/>
    <mergeCell ref="EX40:EY40"/>
    <mergeCell ref="FB40:FC40"/>
    <mergeCell ref="FF40:FG40"/>
    <mergeCell ref="FJ40:FK40"/>
    <mergeCell ref="CM40:CN40"/>
    <mergeCell ref="CU40:CV40"/>
    <mergeCell ref="DM40:DN40"/>
    <mergeCell ref="DY40:DZ40"/>
    <mergeCell ref="EH40:EI40"/>
    <mergeCell ref="EM40:EN40"/>
    <mergeCell ref="BF40:BG40"/>
    <mergeCell ref="BI40:BJ40"/>
    <mergeCell ref="BO40:BP40"/>
    <mergeCell ref="BX40:BY40"/>
    <mergeCell ref="CF40:CG40"/>
    <mergeCell ref="AH40:AI40"/>
    <mergeCell ref="AL40:AM40"/>
    <mergeCell ref="AP40:AQ40"/>
    <mergeCell ref="AT40:AU40"/>
    <mergeCell ref="AX40:AY40"/>
    <mergeCell ref="BB40:BC40"/>
    <mergeCell ref="FJ39:FK39"/>
    <mergeCell ref="FO39:FP39"/>
    <mergeCell ref="D40:E40"/>
    <mergeCell ref="H40:I40"/>
    <mergeCell ref="M40:N40"/>
    <mergeCell ref="U40:V40"/>
    <mergeCell ref="Y40:Z40"/>
    <mergeCell ref="AB40:AC40"/>
    <mergeCell ref="AE40:AF40"/>
    <mergeCell ref="EH39:EI39"/>
    <mergeCell ref="EM39:EN39"/>
    <mergeCell ref="EQ39:ER39"/>
    <mergeCell ref="EU39:EV39"/>
    <mergeCell ref="EX39:EY39"/>
    <mergeCell ref="FB39:FC39"/>
    <mergeCell ref="BL39:BM39"/>
    <mergeCell ref="BO39:BP39"/>
    <mergeCell ref="BX39:BY39"/>
    <mergeCell ref="CF39:CG39"/>
    <mergeCell ref="CM39:CN39"/>
    <mergeCell ref="DY39:DZ39"/>
    <mergeCell ref="AP39:AQ39"/>
    <mergeCell ref="AT39:AU39"/>
    <mergeCell ref="BL40:BM40"/>
    <mergeCell ref="BB39:BC39"/>
    <mergeCell ref="BF39:BG39"/>
    <mergeCell ref="BI39:BJ39"/>
    <mergeCell ref="FO38:FP38"/>
    <mergeCell ref="D39:E39"/>
    <mergeCell ref="H39:I39"/>
    <mergeCell ref="M39:N39"/>
    <mergeCell ref="U39:V39"/>
    <mergeCell ref="Y39:Z39"/>
    <mergeCell ref="AB39:AC39"/>
    <mergeCell ref="AE39:AF39"/>
    <mergeCell ref="AH39:AI39"/>
    <mergeCell ref="AL39:AM39"/>
    <mergeCell ref="EQ38:ER38"/>
    <mergeCell ref="EU38:EV38"/>
    <mergeCell ref="EX38:EY38"/>
    <mergeCell ref="FB38:FC38"/>
    <mergeCell ref="FF38:FG38"/>
    <mergeCell ref="FJ38:FK38"/>
    <mergeCell ref="CM38:CN38"/>
    <mergeCell ref="CU38:CV38"/>
    <mergeCell ref="DM38:DN38"/>
    <mergeCell ref="DY38:DZ38"/>
    <mergeCell ref="FF39:FG39"/>
    <mergeCell ref="A37:B41"/>
    <mergeCell ref="FT37:FU41"/>
    <mergeCell ref="D38:E38"/>
    <mergeCell ref="H38:I38"/>
    <mergeCell ref="M38:N38"/>
    <mergeCell ref="U38:V38"/>
    <mergeCell ref="Y38:Z38"/>
    <mergeCell ref="AB38:AC38"/>
    <mergeCell ref="AE38:AF38"/>
    <mergeCell ref="EH38:EI38"/>
    <mergeCell ref="EM38:EN38"/>
    <mergeCell ref="BF38:BG38"/>
    <mergeCell ref="BI38:BJ38"/>
    <mergeCell ref="BL38:BM38"/>
    <mergeCell ref="BO38:BP38"/>
    <mergeCell ref="BX38:BY38"/>
    <mergeCell ref="CF38:CG38"/>
    <mergeCell ref="AH38:AI38"/>
    <mergeCell ref="AL38:AM38"/>
    <mergeCell ref="AP38:AQ38"/>
    <mergeCell ref="AT38:AU38"/>
    <mergeCell ref="AX38:AY38"/>
    <mergeCell ref="BB38:BC38"/>
    <mergeCell ref="AX39:AY39"/>
    <mergeCell ref="FT32:FU36"/>
    <mergeCell ref="D33:E33"/>
    <mergeCell ref="H33:I33"/>
    <mergeCell ref="M33:N33"/>
    <mergeCell ref="AC33:AD33"/>
    <mergeCell ref="AX33:AY33"/>
    <mergeCell ref="BU33:BV33"/>
    <mergeCell ref="CM33:CN33"/>
    <mergeCell ref="DW33:DX33"/>
    <mergeCell ref="EX33:EY33"/>
    <mergeCell ref="FF35:FG35"/>
    <mergeCell ref="AX35:AY35"/>
    <mergeCell ref="BB35:BC35"/>
    <mergeCell ref="BU35:BV35"/>
    <mergeCell ref="CM35:CN35"/>
    <mergeCell ref="DW35:DX35"/>
    <mergeCell ref="EX35:EY35"/>
    <mergeCell ref="A32:B36"/>
    <mergeCell ref="D35:E35"/>
    <mergeCell ref="H35:I35"/>
    <mergeCell ref="M35:N35"/>
    <mergeCell ref="AC35:AD35"/>
    <mergeCell ref="A27:B31"/>
    <mergeCell ref="G27:H27"/>
    <mergeCell ref="M27:N27"/>
    <mergeCell ref="FF33:FG33"/>
    <mergeCell ref="H34:I34"/>
    <mergeCell ref="BU34:BV34"/>
    <mergeCell ref="CM34:CN34"/>
    <mergeCell ref="DW34:DX34"/>
    <mergeCell ref="FF34:FG34"/>
    <mergeCell ref="FT27:FU31"/>
    <mergeCell ref="G28:H28"/>
    <mergeCell ref="M28:N28"/>
    <mergeCell ref="AX28:AY28"/>
    <mergeCell ref="DC28:DD28"/>
    <mergeCell ref="FB28:FC28"/>
    <mergeCell ref="G29:H29"/>
    <mergeCell ref="BQ24:BR24"/>
    <mergeCell ref="BQ25:BR25"/>
    <mergeCell ref="EK25:EL25"/>
    <mergeCell ref="FB25:FC25"/>
    <mergeCell ref="FI25:FJ25"/>
    <mergeCell ref="FM25:FN25"/>
    <mergeCell ref="M29:N29"/>
    <mergeCell ref="AX29:AY29"/>
    <mergeCell ref="AX30:AY30"/>
    <mergeCell ref="DC30:DD30"/>
    <mergeCell ref="FB30:FC30"/>
    <mergeCell ref="A22:B26"/>
    <mergeCell ref="J22:K22"/>
    <mergeCell ref="FT22:FU26"/>
    <mergeCell ref="J23:K23"/>
    <mergeCell ref="BQ23:BR23"/>
    <mergeCell ref="EK23:EL23"/>
    <mergeCell ref="FB23:FC23"/>
    <mergeCell ref="FI23:FJ23"/>
    <mergeCell ref="FM23:FN23"/>
    <mergeCell ref="J24:K24"/>
    <mergeCell ref="A10:B13"/>
    <mergeCell ref="J10:K10"/>
    <mergeCell ref="DE10:DF10"/>
    <mergeCell ref="FT10:FU13"/>
    <mergeCell ref="J11:K11"/>
    <mergeCell ref="J12:K12"/>
    <mergeCell ref="DE12:DF12"/>
    <mergeCell ref="A18:B21"/>
    <mergeCell ref="J18:K18"/>
    <mergeCell ref="DE18:DF18"/>
    <mergeCell ref="FT18:FU21"/>
    <mergeCell ref="J19:K19"/>
    <mergeCell ref="DE19:DF19"/>
    <mergeCell ref="J20:K20"/>
    <mergeCell ref="DE20:DF20"/>
    <mergeCell ref="A14:B17"/>
    <mergeCell ref="J14:K14"/>
    <mergeCell ref="DE14:DF14"/>
    <mergeCell ref="FT14:FU17"/>
    <mergeCell ref="J15:K15"/>
    <mergeCell ref="J16:K16"/>
    <mergeCell ref="DE16:DF16"/>
  </mergeCells>
  <phoneticPr fontId="3" type="noConversion"/>
  <printOptions horizontalCentered="1" verticalCentered="1"/>
  <pageMargins left="0.23622047244094491" right="0.23622047244094491" top="0.15748031496062992" bottom="0.15748031496062992" header="0.31496062992125984" footer="0.31496062992125984"/>
  <pageSetup paperSize="9" scale="41" fitToWidth="2" fitToHeight="2" orientation="landscape" horizontalDpi="4294967292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B1:BB45"/>
  <sheetViews>
    <sheetView showGridLines="0" zoomScale="70" zoomScaleNormal="70" workbookViewId="0">
      <selection activeCell="AL13" sqref="AL13"/>
    </sheetView>
  </sheetViews>
  <sheetFormatPr defaultColWidth="4.109375" defaultRowHeight="22.2"/>
  <cols>
    <col min="1" max="1" width="4.109375" style="9"/>
    <col min="2" max="2" width="4.77734375" style="7" customWidth="1"/>
    <col min="3" max="3" width="4.109375" style="3" customWidth="1"/>
    <col min="4" max="4" width="4.109375" style="3"/>
    <col min="5" max="5" width="4.88671875" style="3" customWidth="1"/>
    <col min="6" max="6" width="4.21875" style="3" customWidth="1"/>
    <col min="7" max="8" width="4.88671875" style="3" bestFit="1" customWidth="1"/>
    <col min="9" max="9" width="4.109375" style="3" customWidth="1"/>
    <col min="10" max="10" width="4.6640625" style="7" customWidth="1"/>
    <col min="11" max="11" width="4.109375" style="7"/>
    <col min="12" max="12" width="4.44140625" style="3" customWidth="1"/>
    <col min="13" max="14" width="4.109375" style="3" customWidth="1"/>
    <col min="15" max="16" width="4.33203125" style="3" customWidth="1"/>
    <col min="17" max="17" width="4.6640625" style="3" customWidth="1"/>
    <col min="18" max="18" width="4.109375" style="7"/>
    <col min="19" max="19" width="4.44140625" style="7" customWidth="1"/>
    <col min="20" max="20" width="4.33203125" style="7" customWidth="1"/>
    <col min="21" max="21" width="4.88671875" style="3" bestFit="1" customWidth="1"/>
    <col min="22" max="22" width="4.44140625" style="3" bestFit="1" customWidth="1"/>
    <col min="23" max="23" width="4.44140625" style="3" customWidth="1"/>
    <col min="24" max="24" width="4.44140625" style="3" bestFit="1" customWidth="1"/>
    <col min="25" max="25" width="4.21875" style="3" customWidth="1"/>
    <col min="26" max="26" width="4.109375" style="7" customWidth="1"/>
    <col min="27" max="27" width="4.88671875" style="7" bestFit="1" customWidth="1"/>
    <col min="28" max="30" width="4.109375" style="7"/>
    <col min="31" max="31" width="4.21875" style="7" customWidth="1"/>
    <col min="32" max="32" width="4.44140625" style="7" customWidth="1"/>
    <col min="33" max="33" width="4.88671875" style="7" bestFit="1" customWidth="1"/>
    <col min="34" max="34" width="4.109375" style="3"/>
    <col min="35" max="35" width="4.109375" style="6"/>
    <col min="36" max="36" width="4.88671875" style="6" bestFit="1" customWidth="1"/>
    <col min="37" max="37" width="4.109375" style="6" customWidth="1"/>
    <col min="38" max="38" width="4.109375" style="7" customWidth="1"/>
    <col min="39" max="39" width="4.21875" style="6" customWidth="1"/>
    <col min="40" max="41" width="4.109375" style="1"/>
    <col min="42" max="42" width="4.44140625" style="1" customWidth="1"/>
    <col min="43" max="43" width="4.88671875" style="7" bestFit="1" customWidth="1"/>
    <col min="44" max="46" width="4.109375" style="7"/>
    <col min="47" max="47" width="4.109375" style="9"/>
    <col min="48" max="48" width="4.109375" style="9" customWidth="1"/>
    <col min="49" max="16384" width="4.109375" style="9"/>
  </cols>
  <sheetData>
    <row r="1" spans="2:44">
      <c r="M1" s="4"/>
      <c r="N1" s="4"/>
      <c r="Q1" s="7"/>
      <c r="T1" s="3"/>
      <c r="Y1" s="7"/>
      <c r="AI1" s="3"/>
      <c r="AJ1" s="3"/>
      <c r="AK1" s="3"/>
      <c r="AM1" s="3"/>
    </row>
    <row r="2" spans="2:44">
      <c r="M2" s="4"/>
      <c r="N2" s="4"/>
      <c r="Q2" s="7"/>
      <c r="T2" s="3"/>
      <c r="Y2" s="7"/>
      <c r="AI2" s="3"/>
      <c r="AJ2" s="3"/>
      <c r="AK2" s="3"/>
      <c r="AM2" s="3"/>
    </row>
    <row r="3" spans="2:44">
      <c r="M3" s="4"/>
      <c r="N3" s="4"/>
      <c r="Q3" s="7"/>
      <c r="T3" s="3"/>
      <c r="Y3" s="7"/>
      <c r="AI3" s="3"/>
      <c r="AJ3" s="3"/>
      <c r="AK3" s="3"/>
      <c r="AM3" s="3"/>
    </row>
    <row r="4" spans="2:44">
      <c r="M4" s="4"/>
      <c r="N4" s="4"/>
      <c r="Q4" s="7"/>
      <c r="R4" s="9"/>
      <c r="S4" s="9"/>
      <c r="T4" s="3"/>
      <c r="Y4" s="7"/>
      <c r="AA4" s="9"/>
      <c r="AI4" s="3"/>
      <c r="AJ4" s="3"/>
      <c r="AK4" s="3"/>
      <c r="AM4" s="3"/>
    </row>
    <row r="5" spans="2:44" s="9" customFormat="1">
      <c r="B5" s="7"/>
      <c r="C5" s="3"/>
      <c r="D5" s="3"/>
      <c r="E5" s="3"/>
      <c r="F5" s="3"/>
      <c r="G5" s="3"/>
      <c r="H5" s="3"/>
      <c r="I5" s="3"/>
      <c r="J5" s="7"/>
      <c r="K5" s="7"/>
      <c r="L5" s="3"/>
      <c r="M5" s="4"/>
      <c r="N5" s="4"/>
      <c r="O5" s="3"/>
      <c r="T5" s="3"/>
      <c r="U5" s="116" t="s">
        <v>312</v>
      </c>
      <c r="V5" s="116"/>
      <c r="W5" s="54"/>
      <c r="AO5" s="1"/>
      <c r="AP5" s="1"/>
      <c r="AQ5" s="7"/>
      <c r="AR5" s="7"/>
    </row>
    <row r="6" spans="2:44" s="9" customFormat="1" ht="15" customHeight="1">
      <c r="B6" s="7"/>
      <c r="C6" s="3"/>
      <c r="D6" s="3"/>
      <c r="E6" s="3"/>
      <c r="F6" s="3"/>
      <c r="G6" s="3"/>
      <c r="H6" s="3"/>
      <c r="I6" s="3"/>
      <c r="J6" s="7"/>
      <c r="K6" s="7"/>
      <c r="L6" s="3"/>
      <c r="M6" s="5"/>
      <c r="N6" s="5"/>
      <c r="O6" s="3"/>
      <c r="T6" s="3"/>
      <c r="U6" s="116"/>
      <c r="V6" s="116"/>
      <c r="W6" s="54"/>
      <c r="AE6" s="8" t="s">
        <v>2</v>
      </c>
      <c r="AF6" s="8" t="s">
        <v>3</v>
      </c>
      <c r="AO6" s="1"/>
      <c r="AP6" s="1"/>
      <c r="AQ6" s="7"/>
      <c r="AR6" s="7"/>
    </row>
    <row r="7" spans="2:44" s="9" customFormat="1">
      <c r="B7" s="7"/>
      <c r="C7" s="3"/>
      <c r="D7" s="3"/>
      <c r="E7" s="3"/>
      <c r="F7" s="3"/>
      <c r="G7" s="3"/>
      <c r="H7" s="3"/>
      <c r="I7" s="3"/>
      <c r="J7" s="7"/>
      <c r="K7" s="7"/>
      <c r="L7" s="3"/>
      <c r="M7" s="5"/>
      <c r="N7" s="5"/>
      <c r="O7" s="3"/>
      <c r="U7" s="116" t="s">
        <v>111</v>
      </c>
      <c r="V7" s="116"/>
      <c r="W7" s="54"/>
      <c r="AE7" s="7"/>
      <c r="AF7" s="7"/>
      <c r="AO7" s="1"/>
      <c r="AP7" s="1"/>
      <c r="AQ7" s="7"/>
      <c r="AR7" s="7"/>
    </row>
    <row r="8" spans="2:44" s="9" customFormat="1" ht="16.649999999999999" customHeight="1">
      <c r="B8" s="7"/>
      <c r="C8" s="3"/>
      <c r="D8" s="3"/>
      <c r="E8" s="3"/>
      <c r="F8" s="3"/>
      <c r="G8" s="3"/>
      <c r="N8" s="5"/>
      <c r="O8" s="3"/>
      <c r="U8" s="58"/>
      <c r="AE8" s="7"/>
      <c r="AF8" s="7"/>
      <c r="AO8" s="1"/>
      <c r="AP8" s="1"/>
      <c r="AQ8" s="7"/>
      <c r="AR8" s="7"/>
    </row>
    <row r="9" spans="2:44" s="9" customFormat="1">
      <c r="B9" s="7"/>
      <c r="C9" s="3"/>
      <c r="D9" s="3"/>
      <c r="E9" s="3"/>
      <c r="F9" s="3"/>
      <c r="G9" s="3"/>
      <c r="N9" s="3"/>
      <c r="O9" s="3"/>
      <c r="U9" s="116" t="s">
        <v>312</v>
      </c>
      <c r="V9" s="116"/>
      <c r="AE9" s="7"/>
      <c r="AF9" s="7"/>
      <c r="AO9" s="1"/>
      <c r="AP9" s="1"/>
      <c r="AQ9" s="7"/>
      <c r="AR9" s="7"/>
    </row>
    <row r="10" spans="2:44" s="9" customFormat="1" ht="15" customHeight="1">
      <c r="B10" s="7"/>
      <c r="C10" s="3"/>
      <c r="D10" s="3"/>
      <c r="E10" s="3"/>
      <c r="F10" s="3"/>
      <c r="G10" s="3"/>
      <c r="N10" s="3"/>
      <c r="O10" s="3"/>
      <c r="U10" s="116"/>
      <c r="V10" s="116"/>
      <c r="AE10" s="8" t="s">
        <v>8</v>
      </c>
      <c r="AF10" s="8" t="s">
        <v>3</v>
      </c>
      <c r="AO10" s="1"/>
      <c r="AP10" s="1"/>
      <c r="AQ10" s="7"/>
      <c r="AR10" s="7"/>
    </row>
    <row r="11" spans="2:44" s="9" customFormat="1">
      <c r="B11" s="7"/>
      <c r="C11" s="3"/>
      <c r="D11" s="3"/>
      <c r="E11" s="3"/>
      <c r="F11" s="3"/>
      <c r="G11" s="3"/>
      <c r="N11" s="3"/>
      <c r="O11" s="3"/>
      <c r="U11" s="116" t="s">
        <v>313</v>
      </c>
      <c r="V11" s="116"/>
      <c r="AE11" s="7"/>
      <c r="AF11" s="7"/>
      <c r="AO11" s="1"/>
      <c r="AP11" s="1"/>
      <c r="AQ11" s="7"/>
      <c r="AR11" s="7"/>
    </row>
    <row r="12" spans="2:44" s="9" customFormat="1" ht="16.649999999999999" customHeight="1">
      <c r="B12" s="7"/>
      <c r="C12" s="3"/>
      <c r="D12" s="3"/>
      <c r="E12" s="3"/>
      <c r="F12" s="3"/>
      <c r="G12" s="3"/>
      <c r="N12" s="3"/>
      <c r="O12" s="3"/>
      <c r="U12" s="58"/>
      <c r="AE12" s="7"/>
      <c r="AF12" s="7"/>
      <c r="AO12" s="1"/>
      <c r="AP12" s="1"/>
      <c r="AQ12" s="7"/>
      <c r="AR12" s="7"/>
    </row>
    <row r="13" spans="2:44" s="9" customFormat="1">
      <c r="B13" s="7"/>
      <c r="C13" s="3"/>
      <c r="D13" s="3"/>
      <c r="E13" s="3"/>
      <c r="F13" s="3"/>
      <c r="G13" s="3"/>
      <c r="N13" s="3"/>
      <c r="O13" s="3"/>
      <c r="U13" s="116" t="s">
        <v>312</v>
      </c>
      <c r="V13" s="116"/>
      <c r="AE13" s="7"/>
      <c r="AF13" s="7"/>
      <c r="AO13" s="1"/>
      <c r="AP13" s="1"/>
      <c r="AQ13" s="7"/>
      <c r="AR13" s="7"/>
    </row>
    <row r="14" spans="2:44" s="9" customFormat="1" ht="15" customHeight="1">
      <c r="B14" s="7"/>
      <c r="O14" s="3"/>
      <c r="U14" s="116"/>
      <c r="V14" s="116"/>
      <c r="AE14" s="8" t="s">
        <v>12</v>
      </c>
      <c r="AF14" s="8" t="s">
        <v>3</v>
      </c>
      <c r="AR14" s="7"/>
    </row>
    <row r="15" spans="2:44" s="9" customFormat="1">
      <c r="B15" s="7"/>
      <c r="O15" s="5"/>
      <c r="U15" s="116" t="s">
        <v>12</v>
      </c>
      <c r="V15" s="116"/>
      <c r="AR15" s="7"/>
    </row>
    <row r="16" spans="2:44" s="9" customFormat="1" ht="16.2">
      <c r="B16" s="7"/>
      <c r="O16" s="5"/>
      <c r="U16" s="58"/>
      <c r="AE16" s="7"/>
      <c r="AF16" s="7"/>
      <c r="AR16" s="7"/>
    </row>
    <row r="17" spans="2:54" s="25" customFormat="1">
      <c r="B17" s="27"/>
      <c r="C17" s="9"/>
      <c r="D17" s="9"/>
      <c r="E17" s="9"/>
      <c r="F17" s="9"/>
      <c r="G17" s="9"/>
      <c r="H17" s="9"/>
      <c r="I17" s="9"/>
      <c r="J17" s="9"/>
      <c r="K17" s="3"/>
      <c r="O17" s="5"/>
      <c r="P17" s="9"/>
      <c r="Q17" s="9"/>
      <c r="R17" s="9"/>
      <c r="S17" s="9"/>
      <c r="T17" s="9"/>
      <c r="U17" s="116" t="s">
        <v>312</v>
      </c>
      <c r="V17" s="116"/>
      <c r="W17" s="9"/>
      <c r="X17" s="9"/>
      <c r="Y17" s="9"/>
      <c r="Z17" s="9"/>
      <c r="AA17" s="9"/>
      <c r="AB17" s="9"/>
      <c r="AC17" s="9"/>
      <c r="AD17" s="9"/>
      <c r="AE17" s="27"/>
      <c r="AF17" s="27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27"/>
      <c r="BA17" s="9"/>
      <c r="BB17" s="9"/>
    </row>
    <row r="18" spans="2:54" s="25" customFormat="1" ht="15" customHeight="1">
      <c r="B18" s="27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16"/>
      <c r="V18" s="116"/>
      <c r="W18" s="9"/>
      <c r="X18" s="9"/>
      <c r="Y18" s="9"/>
      <c r="Z18" s="9"/>
      <c r="AA18" s="9"/>
      <c r="AB18" s="9"/>
      <c r="AC18" s="9"/>
      <c r="AD18" s="9"/>
      <c r="AE18" s="8" t="s">
        <v>18</v>
      </c>
      <c r="AF18" s="8" t="s">
        <v>3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27"/>
      <c r="BA18" s="9"/>
      <c r="BB18" s="9"/>
    </row>
    <row r="19" spans="2:54"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116" t="s">
        <v>314</v>
      </c>
      <c r="V19" s="116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S19" s="9"/>
      <c r="AT19" s="9"/>
    </row>
    <row r="20" spans="2:54" ht="15" customHeight="1">
      <c r="C20" s="5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55"/>
      <c r="U20" s="60"/>
      <c r="V20" s="9"/>
      <c r="W20" s="55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3"/>
      <c r="AP20" s="3"/>
      <c r="AQ20" s="3"/>
      <c r="AS20" s="9"/>
      <c r="AT20" s="9"/>
    </row>
    <row r="21" spans="2:54" ht="15" customHeight="1">
      <c r="C21" s="5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58"/>
      <c r="S21" s="19"/>
      <c r="T21" s="9"/>
      <c r="U21" s="9"/>
      <c r="V21" s="19"/>
      <c r="W21" s="9"/>
      <c r="X21" s="61"/>
      <c r="Y21" s="9"/>
      <c r="Z21" s="9"/>
      <c r="AA21" s="9"/>
      <c r="AB21" s="9"/>
      <c r="AC21" s="9"/>
      <c r="AD21" s="9"/>
      <c r="AG21" s="9"/>
      <c r="AH21" s="9"/>
      <c r="AI21" s="9"/>
      <c r="AJ21" s="9"/>
      <c r="AK21" s="9"/>
      <c r="AL21" s="9"/>
      <c r="AM21" s="9"/>
      <c r="AN21" s="9"/>
      <c r="AO21" s="3"/>
      <c r="AP21" s="3"/>
      <c r="AQ21" s="3"/>
      <c r="AS21" s="9"/>
      <c r="AT21" s="9"/>
    </row>
    <row r="22" spans="2:54" ht="21" customHeight="1">
      <c r="B22" s="9"/>
      <c r="C22" s="9"/>
      <c r="D22" s="9"/>
      <c r="E22" s="116"/>
      <c r="F22" s="116"/>
      <c r="G22" s="54"/>
      <c r="H22" s="9"/>
      <c r="I22" s="9"/>
      <c r="J22" s="9"/>
      <c r="K22" s="116"/>
      <c r="L22" s="116"/>
      <c r="M22" s="54"/>
      <c r="N22" s="9"/>
      <c r="O22" s="9"/>
      <c r="P22" s="9"/>
      <c r="Q22" s="9"/>
      <c r="R22" s="116" t="s">
        <v>312</v>
      </c>
      <c r="S22" s="116"/>
      <c r="T22" s="54">
        <v>1865</v>
      </c>
      <c r="U22" s="9"/>
      <c r="V22" s="9"/>
      <c r="W22" s="9"/>
      <c r="X22" s="116" t="s">
        <v>312</v>
      </c>
      <c r="Y22" s="116"/>
      <c r="Z22" s="54">
        <v>1858</v>
      </c>
      <c r="AA22" s="9"/>
      <c r="AB22" s="9"/>
      <c r="AC22" s="9"/>
      <c r="AD22" s="9"/>
      <c r="AG22" s="9"/>
      <c r="AH22" s="9"/>
      <c r="AI22" s="9"/>
      <c r="AJ22" s="9"/>
      <c r="AK22" s="9"/>
      <c r="AL22" s="9"/>
      <c r="AM22" s="9"/>
      <c r="AN22" s="9"/>
      <c r="AO22" s="3"/>
      <c r="AP22" s="3"/>
      <c r="AQ22" s="3"/>
      <c r="AS22" s="9"/>
      <c r="AT22" s="9"/>
    </row>
    <row r="23" spans="2:54" ht="15" customHeight="1">
      <c r="B23"/>
      <c r="C23"/>
      <c r="D23"/>
      <c r="E23"/>
      <c r="F23"/>
      <c r="G23"/>
      <c r="H23"/>
      <c r="I23"/>
      <c r="J23"/>
      <c r="K23"/>
      <c r="L23"/>
      <c r="M23"/>
      <c r="N23"/>
      <c r="O23" s="9"/>
      <c r="P23" s="9"/>
      <c r="Q23" s="9"/>
      <c r="R23" s="116"/>
      <c r="S23" s="116"/>
      <c r="T23" s="9"/>
      <c r="U23" s="9"/>
      <c r="V23" s="9"/>
      <c r="W23" s="9"/>
      <c r="X23" s="116"/>
      <c r="Y23" s="116"/>
      <c r="Z23" s="9"/>
      <c r="AA23" s="9"/>
      <c r="AB23" s="9"/>
      <c r="AC23" s="9"/>
      <c r="AD23" s="9"/>
      <c r="AE23" s="8" t="s">
        <v>37</v>
      </c>
      <c r="AF23" s="8" t="s">
        <v>3</v>
      </c>
      <c r="AG23" s="9"/>
      <c r="AH23" s="9"/>
      <c r="AI23" s="9"/>
      <c r="AJ23" s="9"/>
      <c r="AK23" s="9"/>
      <c r="AL23" s="9"/>
      <c r="AM23" s="9"/>
      <c r="AN23" s="9"/>
      <c r="AO23" s="3"/>
      <c r="AP23" s="3"/>
      <c r="AQ23" s="3"/>
      <c r="AR23" s="9"/>
      <c r="AS23" s="9"/>
      <c r="AT23" s="9"/>
    </row>
    <row r="24" spans="2:54" ht="21" customHeight="1">
      <c r="B24"/>
      <c r="C24"/>
      <c r="D24"/>
      <c r="E24"/>
      <c r="F24"/>
      <c r="G24"/>
      <c r="H24"/>
      <c r="I24"/>
      <c r="J24"/>
      <c r="K24"/>
      <c r="L24"/>
      <c r="M24"/>
      <c r="N24"/>
      <c r="O24" s="9"/>
      <c r="P24" s="9"/>
      <c r="Q24" s="9"/>
      <c r="R24" s="116" t="s">
        <v>315</v>
      </c>
      <c r="S24" s="116"/>
      <c r="T24" s="9"/>
      <c r="U24" s="9"/>
      <c r="V24" s="9"/>
      <c r="W24" s="9"/>
      <c r="X24" s="116" t="s">
        <v>316</v>
      </c>
      <c r="Y24" s="116"/>
      <c r="Z24" s="9"/>
      <c r="AA24" s="9"/>
      <c r="AB24" s="9"/>
      <c r="AC24" s="9"/>
      <c r="AD24" s="9"/>
      <c r="AG24" s="9"/>
      <c r="AH24" s="9"/>
      <c r="AI24" s="9"/>
      <c r="AJ24" s="9"/>
      <c r="AK24" s="9"/>
      <c r="AL24" s="9"/>
      <c r="AM24" s="9"/>
      <c r="AN24" s="9"/>
      <c r="AO24" s="3"/>
      <c r="AP24" s="3"/>
      <c r="AQ24" s="3"/>
      <c r="AR24" s="9"/>
      <c r="AS24" s="9"/>
      <c r="AT24" s="9"/>
    </row>
    <row r="25" spans="2:54" s="25" customFormat="1" ht="15" customHeight="1">
      <c r="B25"/>
      <c r="C25"/>
      <c r="D25"/>
      <c r="E25"/>
      <c r="F25"/>
      <c r="G25"/>
      <c r="H25"/>
      <c r="I25"/>
      <c r="J25"/>
      <c r="K25"/>
      <c r="L25"/>
      <c r="M25"/>
      <c r="N25"/>
      <c r="P25" s="55"/>
      <c r="Q25" s="55"/>
      <c r="R25" s="60"/>
      <c r="S25" s="9"/>
      <c r="T25" s="9"/>
      <c r="X25" s="58"/>
      <c r="Y25" s="9"/>
      <c r="Z25" s="9"/>
      <c r="AA25" s="9"/>
      <c r="AB25" s="9"/>
      <c r="AC25" s="9"/>
      <c r="AD25" s="9"/>
      <c r="AG25" s="9"/>
      <c r="AH25" s="9"/>
      <c r="AI25" s="9"/>
      <c r="AJ25" s="9"/>
      <c r="AK25" s="9"/>
      <c r="AL25" s="9"/>
      <c r="AM25" s="9"/>
      <c r="AN25" s="9"/>
      <c r="AO25" s="1"/>
      <c r="AP25" s="1"/>
      <c r="AQ25" s="27"/>
    </row>
    <row r="26" spans="2:54" s="25" customFormat="1" ht="15" customHeight="1">
      <c r="B26"/>
      <c r="C26"/>
      <c r="D26"/>
      <c r="E26"/>
      <c r="F26"/>
      <c r="G26"/>
      <c r="H26"/>
      <c r="I26"/>
      <c r="J26"/>
      <c r="K26"/>
      <c r="L26"/>
      <c r="M26"/>
      <c r="N26"/>
      <c r="P26" s="57"/>
      <c r="Q26" s="9"/>
      <c r="R26" s="19"/>
      <c r="S26" s="61"/>
      <c r="T26" s="9"/>
      <c r="X26" s="101"/>
      <c r="AA26" s="9"/>
      <c r="AB26" s="9"/>
      <c r="AC26" s="9"/>
      <c r="AD26" s="9"/>
      <c r="AE26" s="27"/>
      <c r="AF26" s="27"/>
      <c r="AG26" s="9"/>
      <c r="AH26" s="9"/>
      <c r="AI26" s="9"/>
      <c r="AJ26" s="9"/>
      <c r="AK26" s="9"/>
      <c r="AL26" s="9"/>
      <c r="AM26" s="9"/>
      <c r="AN26" s="9"/>
      <c r="AO26" s="1"/>
      <c r="AP26" s="1"/>
      <c r="AQ26" s="27"/>
    </row>
    <row r="27" spans="2:54" ht="21" customHeight="1">
      <c r="B27"/>
      <c r="C27"/>
      <c r="D27"/>
      <c r="E27"/>
      <c r="F27"/>
      <c r="G27"/>
      <c r="H27"/>
      <c r="I27"/>
      <c r="J27"/>
      <c r="K27"/>
      <c r="L27"/>
      <c r="M27"/>
      <c r="N27"/>
      <c r="O27" s="116" t="s">
        <v>312</v>
      </c>
      <c r="P27" s="116"/>
      <c r="Q27" s="54">
        <v>1896</v>
      </c>
      <c r="S27" s="116" t="s">
        <v>312</v>
      </c>
      <c r="T27" s="116"/>
      <c r="X27" s="116" t="s">
        <v>312</v>
      </c>
      <c r="Y27" s="116"/>
      <c r="Z27" s="54">
        <v>1892</v>
      </c>
      <c r="AD27" s="9"/>
      <c r="AH27" s="9"/>
      <c r="AI27" s="9"/>
      <c r="AJ27" s="9"/>
      <c r="AK27" s="9"/>
      <c r="AL27" s="9"/>
      <c r="AM27" s="9"/>
      <c r="AN27" s="9"/>
    </row>
    <row r="28" spans="2:54" ht="15" customHeight="1">
      <c r="B28"/>
      <c r="C28"/>
      <c r="D28"/>
      <c r="E28"/>
      <c r="F28"/>
      <c r="G28"/>
      <c r="H28"/>
      <c r="I28"/>
      <c r="J28"/>
      <c r="K28"/>
      <c r="L28"/>
      <c r="M28"/>
      <c r="N28"/>
      <c r="O28" s="69"/>
      <c r="P28" s="69"/>
      <c r="Q28" s="7"/>
      <c r="S28" s="116"/>
      <c r="T28" s="116"/>
      <c r="X28" s="116"/>
      <c r="Y28" s="116"/>
      <c r="Z28" s="9"/>
      <c r="AD28" s="9"/>
      <c r="AE28" s="8" t="s">
        <v>64</v>
      </c>
      <c r="AF28" s="8" t="s">
        <v>3</v>
      </c>
      <c r="AG28" s="9"/>
      <c r="AH28" s="9"/>
      <c r="AI28" s="9"/>
      <c r="AJ28" s="9"/>
      <c r="AK28" s="9"/>
      <c r="AL28" s="9"/>
      <c r="AM28" s="9"/>
      <c r="AN28" s="9"/>
    </row>
    <row r="29" spans="2:54" ht="21" customHeight="1">
      <c r="B29"/>
      <c r="C29"/>
      <c r="D29"/>
      <c r="E29"/>
      <c r="F29"/>
      <c r="G29"/>
      <c r="H29"/>
      <c r="I29"/>
      <c r="J29"/>
      <c r="K29"/>
      <c r="L29"/>
      <c r="M29"/>
      <c r="N29"/>
      <c r="O29" s="116" t="s">
        <v>318</v>
      </c>
      <c r="P29" s="116"/>
      <c r="Q29" s="7"/>
      <c r="S29" s="116" t="s">
        <v>319</v>
      </c>
      <c r="T29" s="116"/>
      <c r="X29" s="116" t="s">
        <v>317</v>
      </c>
      <c r="Y29" s="116"/>
      <c r="Z29" s="9"/>
      <c r="AD29" s="9"/>
      <c r="AG29" s="9"/>
      <c r="AH29" s="9"/>
      <c r="AI29" s="9"/>
      <c r="AJ29" s="9"/>
      <c r="AK29" s="9"/>
      <c r="AL29" s="9"/>
      <c r="AM29" s="9"/>
      <c r="AN29" s="9"/>
    </row>
    <row r="30" spans="2:54" ht="15" customHeight="1">
      <c r="B30"/>
      <c r="C30"/>
      <c r="D30"/>
      <c r="E30"/>
      <c r="F30"/>
      <c r="G30"/>
      <c r="H30"/>
      <c r="I30"/>
      <c r="J30"/>
      <c r="K30"/>
      <c r="L30"/>
      <c r="M30"/>
      <c r="N30"/>
      <c r="O30" s="58"/>
      <c r="P30" s="9"/>
      <c r="Q30" s="7"/>
      <c r="S30" s="58"/>
      <c r="T30" s="9"/>
      <c r="X30" s="58"/>
      <c r="Y30" s="9"/>
      <c r="Z30" s="9"/>
      <c r="AD30" s="9"/>
      <c r="AG30" s="9"/>
      <c r="AH30" s="9"/>
      <c r="AI30" s="9"/>
      <c r="AJ30" s="9"/>
      <c r="AK30" s="9"/>
      <c r="AL30" s="9"/>
      <c r="AM30" s="9"/>
      <c r="AN30" s="9"/>
    </row>
    <row r="31" spans="2:54" ht="21" customHeight="1">
      <c r="B31"/>
      <c r="C31"/>
      <c r="D31"/>
      <c r="E31"/>
      <c r="F31"/>
      <c r="G31"/>
      <c r="H31"/>
      <c r="I31"/>
      <c r="J31"/>
      <c r="K31"/>
      <c r="L31"/>
      <c r="M31"/>
      <c r="N31"/>
      <c r="O31" s="116" t="s">
        <v>312</v>
      </c>
      <c r="P31" s="116"/>
      <c r="Q31" s="54">
        <v>1925</v>
      </c>
      <c r="S31" s="116" t="s">
        <v>312</v>
      </c>
      <c r="T31" s="116"/>
      <c r="U31" s="54">
        <f>1911+16</f>
        <v>1927</v>
      </c>
      <c r="X31" s="116" t="s">
        <v>312</v>
      </c>
      <c r="Y31" s="116"/>
      <c r="Z31" s="54">
        <f>1911+15</f>
        <v>1926</v>
      </c>
      <c r="AD31" s="9"/>
      <c r="AG31" s="9"/>
      <c r="AH31" s="9"/>
      <c r="AI31" s="9"/>
      <c r="AJ31" s="9"/>
      <c r="AK31" s="9"/>
      <c r="AL31" s="9"/>
      <c r="AM31" s="9"/>
      <c r="AN31" s="9"/>
    </row>
    <row r="32" spans="2:54" ht="21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 s="116" t="s">
        <v>220</v>
      </c>
      <c r="P32" s="116"/>
      <c r="Q32" s="7"/>
      <c r="S32" s="116" t="s">
        <v>296</v>
      </c>
      <c r="T32" s="116"/>
      <c r="X32" s="116" t="s">
        <v>320</v>
      </c>
      <c r="Y32" s="116"/>
      <c r="Z32" s="9"/>
      <c r="AD32" s="9"/>
      <c r="AE32" s="8" t="s">
        <v>93</v>
      </c>
      <c r="AF32" s="8" t="s">
        <v>3</v>
      </c>
      <c r="AG32" s="9"/>
      <c r="AH32" s="9"/>
      <c r="AI32" s="9"/>
      <c r="AJ32" s="9"/>
      <c r="AK32" s="9"/>
      <c r="AL32" s="9"/>
      <c r="AM32" s="9"/>
      <c r="AN32" s="9"/>
    </row>
    <row r="33" spans="2:47">
      <c r="B33"/>
      <c r="C33"/>
      <c r="D33"/>
      <c r="E33"/>
      <c r="F33"/>
      <c r="G33"/>
      <c r="H33"/>
      <c r="I33"/>
      <c r="J33"/>
      <c r="K33"/>
      <c r="L33"/>
      <c r="M33"/>
      <c r="N33"/>
      <c r="O33" s="116" t="s">
        <v>358</v>
      </c>
      <c r="P33" s="116"/>
      <c r="Q33" s="7"/>
      <c r="S33" s="116" t="s">
        <v>321</v>
      </c>
      <c r="T33" s="116"/>
      <c r="X33" s="116" t="s">
        <v>357</v>
      </c>
      <c r="Y33" s="116"/>
      <c r="Z33" s="9"/>
      <c r="AD33" s="9"/>
      <c r="AG33" s="9"/>
      <c r="AH33" s="9"/>
      <c r="AI33" s="9"/>
      <c r="AJ33" s="9"/>
      <c r="AK33" s="9"/>
      <c r="AL33" s="9"/>
      <c r="AM33" s="9"/>
      <c r="AN33" s="9"/>
    </row>
    <row r="34" spans="2:47" ht="15" customHeight="1">
      <c r="B34"/>
      <c r="C34"/>
      <c r="D34"/>
      <c r="E34"/>
      <c r="F34"/>
      <c r="G34"/>
      <c r="H34"/>
      <c r="I34"/>
      <c r="J34"/>
      <c r="K34"/>
      <c r="L34"/>
      <c r="M34"/>
      <c r="N34"/>
      <c r="O34" s="58"/>
      <c r="P34" s="9"/>
      <c r="Q34" s="7"/>
      <c r="S34" s="58"/>
      <c r="T34" s="9"/>
      <c r="X34" s="58"/>
      <c r="Y34" s="9"/>
      <c r="Z34" s="9"/>
      <c r="AD34" s="9"/>
      <c r="AG34" s="9"/>
      <c r="AH34" s="9"/>
      <c r="AI34" s="9"/>
      <c r="AJ34" s="9"/>
      <c r="AK34" s="9"/>
      <c r="AL34" s="9"/>
      <c r="AM34" s="9"/>
      <c r="AN34" s="9"/>
    </row>
    <row r="35" spans="2:47">
      <c r="B35"/>
      <c r="C35"/>
      <c r="D35"/>
      <c r="E35"/>
      <c r="F35"/>
      <c r="G35"/>
      <c r="H35"/>
      <c r="I35"/>
      <c r="J35"/>
      <c r="K35"/>
      <c r="L35"/>
      <c r="M35"/>
      <c r="N35"/>
      <c r="O35" s="116" t="s">
        <v>359</v>
      </c>
      <c r="P35" s="116"/>
      <c r="Q35" s="54">
        <v>1953</v>
      </c>
      <c r="S35" s="116" t="s">
        <v>312</v>
      </c>
      <c r="T35" s="116"/>
      <c r="U35" s="54">
        <f>1911+41</f>
        <v>1952</v>
      </c>
      <c r="X35" s="116" t="s">
        <v>312</v>
      </c>
      <c r="Y35" s="116"/>
      <c r="Z35" s="54">
        <f>1911+47</f>
        <v>1958</v>
      </c>
      <c r="AD35" s="9"/>
      <c r="AG35" s="9"/>
      <c r="AH35" s="9"/>
      <c r="AI35" s="9"/>
      <c r="AJ35" s="9"/>
      <c r="AK35" s="9"/>
      <c r="AL35" s="9"/>
      <c r="AM35" s="9"/>
      <c r="AN35" s="9"/>
    </row>
    <row r="36" spans="2:47">
      <c r="B36"/>
      <c r="C36"/>
      <c r="D36"/>
      <c r="E36"/>
      <c r="F36"/>
      <c r="G36"/>
      <c r="H36"/>
      <c r="I36"/>
      <c r="J36"/>
      <c r="K36"/>
      <c r="L36"/>
      <c r="M36"/>
      <c r="N36"/>
      <c r="O36" s="116" t="s">
        <v>360</v>
      </c>
      <c r="P36" s="116"/>
      <c r="Q36" s="7"/>
      <c r="S36" s="116" t="s">
        <v>322</v>
      </c>
      <c r="T36" s="116"/>
      <c r="X36" s="116" t="s">
        <v>177</v>
      </c>
      <c r="Y36" s="116"/>
      <c r="Z36" s="9"/>
      <c r="AD36" s="9"/>
      <c r="AE36" s="8" t="s">
        <v>304</v>
      </c>
      <c r="AF36" s="8" t="s">
        <v>3</v>
      </c>
      <c r="AG36" s="9"/>
      <c r="AH36" s="9"/>
      <c r="AI36" s="9"/>
      <c r="AJ36" s="9"/>
      <c r="AK36" s="9"/>
      <c r="AL36" s="9"/>
      <c r="AM36" s="9"/>
      <c r="AN36" s="9"/>
    </row>
    <row r="37" spans="2:47" ht="16.649999999999999" customHeight="1">
      <c r="B37"/>
      <c r="C37"/>
      <c r="D37"/>
      <c r="E37"/>
      <c r="F37"/>
      <c r="G37"/>
      <c r="H37"/>
      <c r="I37"/>
      <c r="J37"/>
      <c r="K37"/>
      <c r="L37"/>
      <c r="M37"/>
      <c r="N37"/>
      <c r="O37" s="116" t="s">
        <v>361</v>
      </c>
      <c r="P37" s="116"/>
      <c r="Q37" s="7"/>
      <c r="S37" s="116" t="s">
        <v>87</v>
      </c>
      <c r="T37" s="116"/>
      <c r="X37" s="116" t="s">
        <v>323</v>
      </c>
      <c r="Y37" s="116"/>
      <c r="Z37" s="9"/>
      <c r="AD37" s="9"/>
      <c r="AG37" s="9"/>
      <c r="AH37" s="9"/>
      <c r="AI37" s="9"/>
      <c r="AJ37" s="9"/>
      <c r="AK37" s="9"/>
      <c r="AL37" s="9"/>
      <c r="AM37" s="9"/>
      <c r="AN37" s="9"/>
    </row>
    <row r="38" spans="2:47" ht="15" customHeight="1">
      <c r="B38"/>
      <c r="C38"/>
      <c r="D38"/>
      <c r="E38"/>
      <c r="F38"/>
      <c r="G38"/>
      <c r="H38"/>
      <c r="I38"/>
      <c r="J38"/>
      <c r="K38"/>
      <c r="L38"/>
      <c r="M38"/>
      <c r="N38"/>
      <c r="P38" s="31"/>
      <c r="R38" s="9"/>
      <c r="S38" s="3"/>
      <c r="T38" s="31"/>
      <c r="U38" s="7"/>
      <c r="X38" s="58"/>
      <c r="Y38" s="9"/>
      <c r="Z38" s="9"/>
      <c r="AD38" s="9"/>
      <c r="AG38" s="9"/>
      <c r="AH38" s="9"/>
      <c r="AI38" s="9"/>
      <c r="AJ38" s="9"/>
      <c r="AK38" s="9"/>
      <c r="AL38" s="9"/>
      <c r="AM38" s="9"/>
      <c r="AN38" s="9"/>
    </row>
    <row r="39" spans="2:47">
      <c r="B39"/>
      <c r="C39"/>
      <c r="D39"/>
      <c r="E39"/>
      <c r="F39"/>
      <c r="G39"/>
      <c r="H39"/>
      <c r="I39"/>
      <c r="J39"/>
      <c r="K39"/>
      <c r="L39"/>
      <c r="M39"/>
      <c r="N39"/>
      <c r="O39" s="116" t="s">
        <v>312</v>
      </c>
      <c r="P39" s="116"/>
      <c r="Q39" s="54">
        <v>1980</v>
      </c>
      <c r="S39" s="116" t="s">
        <v>312</v>
      </c>
      <c r="T39" s="116"/>
      <c r="U39" s="54">
        <v>1990</v>
      </c>
      <c r="X39" s="116" t="s">
        <v>312</v>
      </c>
      <c r="Y39" s="116"/>
      <c r="Z39" s="9"/>
      <c r="AD39" s="3"/>
      <c r="AG39" s="3"/>
      <c r="AH39" s="116"/>
      <c r="AI39" s="116"/>
      <c r="AJ39" s="4"/>
    </row>
    <row r="40" spans="2:47">
      <c r="B40"/>
      <c r="C40"/>
      <c r="D40"/>
      <c r="E40"/>
      <c r="F40"/>
      <c r="G40"/>
      <c r="H40"/>
      <c r="I40"/>
      <c r="J40"/>
      <c r="K40"/>
      <c r="L40"/>
      <c r="M40"/>
      <c r="N40"/>
      <c r="O40" s="116" t="s">
        <v>362</v>
      </c>
      <c r="P40" s="116"/>
      <c r="S40" s="116" t="s">
        <v>364</v>
      </c>
      <c r="T40" s="116"/>
      <c r="U40" s="7"/>
      <c r="X40" s="116" t="s">
        <v>76</v>
      </c>
      <c r="Y40" s="116"/>
      <c r="AE40" s="8" t="s">
        <v>307</v>
      </c>
      <c r="AF40" s="8" t="s">
        <v>3</v>
      </c>
      <c r="AG40" s="3"/>
      <c r="AH40" s="116"/>
      <c r="AI40" s="116"/>
      <c r="AJ40" s="4"/>
    </row>
    <row r="41" spans="2:47">
      <c r="B41"/>
      <c r="C41"/>
      <c r="D41"/>
      <c r="E41"/>
      <c r="F41"/>
      <c r="G41"/>
      <c r="H41"/>
      <c r="I41"/>
      <c r="J41"/>
      <c r="K41"/>
      <c r="L41"/>
      <c r="M41"/>
      <c r="N41"/>
      <c r="O41" s="116" t="s">
        <v>363</v>
      </c>
      <c r="P41" s="116"/>
      <c r="S41" s="116" t="s">
        <v>365</v>
      </c>
      <c r="T41" s="116"/>
      <c r="U41" s="7"/>
      <c r="W41" s="9"/>
      <c r="X41" s="116" t="s">
        <v>324</v>
      </c>
      <c r="Y41" s="116"/>
      <c r="AH41" s="7"/>
      <c r="AI41" s="3"/>
      <c r="AL41" s="6"/>
      <c r="AM41" s="7"/>
      <c r="AN41" s="6"/>
      <c r="AQ41" s="1"/>
      <c r="AU41" s="7"/>
    </row>
    <row r="42" spans="2:47">
      <c r="B42"/>
      <c r="C42"/>
      <c r="D42"/>
      <c r="E42"/>
      <c r="F42"/>
      <c r="G42"/>
      <c r="H42"/>
      <c r="I42"/>
      <c r="J42"/>
      <c r="K42"/>
      <c r="L42"/>
      <c r="M42"/>
      <c r="N42"/>
      <c r="U42" s="7"/>
      <c r="W42" s="9"/>
      <c r="X42" s="9"/>
      <c r="Z42" s="3"/>
      <c r="AH42" s="7"/>
      <c r="AI42" s="3"/>
      <c r="AL42" s="6"/>
      <c r="AM42" s="7"/>
      <c r="AN42" s="6"/>
      <c r="AQ42" s="1"/>
      <c r="AU42" s="7"/>
    </row>
    <row r="43" spans="2:47">
      <c r="B43"/>
      <c r="C43"/>
      <c r="D43"/>
      <c r="E43"/>
      <c r="F43"/>
      <c r="G43"/>
      <c r="H43"/>
      <c r="I43"/>
      <c r="J43"/>
      <c r="K43"/>
      <c r="L43"/>
      <c r="M43"/>
      <c r="N43"/>
      <c r="V43" s="9"/>
      <c r="W43" s="9"/>
    </row>
    <row r="44" spans="2:47">
      <c r="B44"/>
      <c r="C44"/>
      <c r="D44"/>
      <c r="E44"/>
      <c r="F44"/>
      <c r="G44"/>
      <c r="H44"/>
      <c r="I44"/>
      <c r="J44"/>
      <c r="K44"/>
      <c r="L44"/>
      <c r="M44"/>
      <c r="N44"/>
      <c r="V44" s="9"/>
      <c r="W44" s="9"/>
    </row>
    <row r="45" spans="2:47">
      <c r="B45" s="116"/>
      <c r="C45" s="116"/>
      <c r="E45" s="7"/>
      <c r="F45" s="116"/>
      <c r="G45" s="116"/>
      <c r="H45" s="7"/>
      <c r="J45" s="9"/>
      <c r="K45" s="116"/>
      <c r="L45" s="116"/>
      <c r="N45" s="7"/>
    </row>
  </sheetData>
  <mergeCells count="60">
    <mergeCell ref="B45:C45"/>
    <mergeCell ref="F45:G45"/>
    <mergeCell ref="K45:L45"/>
    <mergeCell ref="O39:P39"/>
    <mergeCell ref="O40:P40"/>
    <mergeCell ref="O41:P41"/>
    <mergeCell ref="E22:F22"/>
    <mergeCell ref="K22:L22"/>
    <mergeCell ref="U19:V19"/>
    <mergeCell ref="U5:V5"/>
    <mergeCell ref="U6:V6"/>
    <mergeCell ref="U7:V7"/>
    <mergeCell ref="U9:V9"/>
    <mergeCell ref="U10:V10"/>
    <mergeCell ref="U11:V11"/>
    <mergeCell ref="U13:V13"/>
    <mergeCell ref="U14:V14"/>
    <mergeCell ref="U15:V15"/>
    <mergeCell ref="U17:V17"/>
    <mergeCell ref="U18:V18"/>
    <mergeCell ref="R22:S22"/>
    <mergeCell ref="X22:Y22"/>
    <mergeCell ref="R23:S23"/>
    <mergeCell ref="X23:Y23"/>
    <mergeCell ref="R24:S24"/>
    <mergeCell ref="X24:Y24"/>
    <mergeCell ref="X27:Y27"/>
    <mergeCell ref="O27:P27"/>
    <mergeCell ref="S27:T27"/>
    <mergeCell ref="X28:Y28"/>
    <mergeCell ref="S28:T28"/>
    <mergeCell ref="X29:Y29"/>
    <mergeCell ref="X35:Y35"/>
    <mergeCell ref="O29:P29"/>
    <mergeCell ref="S29:T29"/>
    <mergeCell ref="X31:Y31"/>
    <mergeCell ref="O31:P31"/>
    <mergeCell ref="S31:T31"/>
    <mergeCell ref="X32:Y32"/>
    <mergeCell ref="O32:P32"/>
    <mergeCell ref="S32:T32"/>
    <mergeCell ref="X33:Y33"/>
    <mergeCell ref="O33:P33"/>
    <mergeCell ref="S33:T33"/>
    <mergeCell ref="X41:Y41"/>
    <mergeCell ref="AH40:AI40"/>
    <mergeCell ref="O35:P35"/>
    <mergeCell ref="S35:T35"/>
    <mergeCell ref="X36:Y36"/>
    <mergeCell ref="O36:P36"/>
    <mergeCell ref="S36:T36"/>
    <mergeCell ref="X37:Y37"/>
    <mergeCell ref="O37:P37"/>
    <mergeCell ref="S37:T37"/>
    <mergeCell ref="X39:Y39"/>
    <mergeCell ref="X40:Y40"/>
    <mergeCell ref="AH39:AI39"/>
    <mergeCell ref="S39:T39"/>
    <mergeCell ref="S40:T40"/>
    <mergeCell ref="S41:T41"/>
  </mergeCells>
  <phoneticPr fontId="3" type="noConversion"/>
  <printOptions horizontalCentered="1"/>
  <pageMargins left="0.70866141732283472" right="0.70866141732283472" top="0.55118110236220474" bottom="0.15748031496062992" header="0.31496062992125984" footer="0.31496062992125984"/>
  <pageSetup paperSize="9" scale="7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B1:AZ40"/>
  <sheetViews>
    <sheetView showGridLines="0" topLeftCell="A7" zoomScale="70" zoomScaleNormal="70" workbookViewId="0">
      <selection activeCell="AW27" sqref="AW27"/>
    </sheetView>
  </sheetViews>
  <sheetFormatPr defaultColWidth="4.109375" defaultRowHeight="22.2"/>
  <cols>
    <col min="1" max="1" width="4.109375" style="9"/>
    <col min="2" max="2" width="4.77734375" style="7" customWidth="1"/>
    <col min="3" max="3" width="4.109375" style="3" customWidth="1"/>
    <col min="4" max="4" width="4.109375" style="3"/>
    <col min="5" max="5" width="4.88671875" style="3" customWidth="1"/>
    <col min="6" max="6" width="4.21875" style="3" customWidth="1"/>
    <col min="7" max="8" width="4.88671875" style="3" bestFit="1" customWidth="1"/>
    <col min="9" max="9" width="4.109375" style="3" customWidth="1"/>
    <col min="10" max="10" width="4.6640625" style="7" customWidth="1"/>
    <col min="11" max="11" width="4.109375" style="7"/>
    <col min="12" max="12" width="4.44140625" style="3" customWidth="1"/>
    <col min="13" max="14" width="4.109375" style="3" customWidth="1"/>
    <col min="15" max="16" width="4.33203125" style="3" customWidth="1"/>
    <col min="17" max="17" width="4.6640625" style="3" customWidth="1"/>
    <col min="18" max="18" width="4.109375" style="7"/>
    <col min="19" max="19" width="4.44140625" style="7" customWidth="1"/>
    <col min="20" max="20" width="4.33203125" style="7" customWidth="1"/>
    <col min="21" max="21" width="4.88671875" style="3" bestFit="1" customWidth="1"/>
    <col min="22" max="22" width="4.44140625" style="3" bestFit="1" customWidth="1"/>
    <col min="23" max="23" width="4.44140625" style="3" customWidth="1"/>
    <col min="24" max="24" width="4.44140625" style="3" bestFit="1" customWidth="1"/>
    <col min="25" max="25" width="4.21875" style="3" customWidth="1"/>
    <col min="26" max="26" width="4.109375" style="7" customWidth="1"/>
    <col min="27" max="27" width="4.88671875" style="7" bestFit="1" customWidth="1"/>
    <col min="28" max="28" width="4.109375" style="7"/>
    <col min="29" max="29" width="4.21875" style="7" customWidth="1"/>
    <col min="30" max="30" width="4.44140625" style="7" customWidth="1"/>
    <col min="31" max="31" width="4.88671875" style="7" bestFit="1" customWidth="1"/>
    <col min="32" max="32" width="4.109375" style="3"/>
    <col min="33" max="33" width="4.109375" style="6"/>
    <col min="34" max="34" width="4.88671875" style="6" bestFit="1" customWidth="1"/>
    <col min="35" max="35" width="4.109375" style="6" customWidth="1"/>
    <col min="36" max="36" width="4.109375" style="7" customWidth="1"/>
    <col min="37" max="37" width="4.21875" style="6" customWidth="1"/>
    <col min="38" max="39" width="4.109375" style="1"/>
    <col min="40" max="40" width="4.44140625" style="1" customWidth="1"/>
    <col min="41" max="41" width="4.88671875" style="7" bestFit="1" customWidth="1"/>
    <col min="42" max="44" width="4.109375" style="7"/>
    <col min="45" max="45" width="4.109375" style="9"/>
    <col min="46" max="46" width="4.109375" style="9" customWidth="1"/>
    <col min="47" max="16384" width="4.109375" style="9"/>
  </cols>
  <sheetData>
    <row r="1" spans="3:44">
      <c r="M1" s="4"/>
      <c r="N1" s="4"/>
      <c r="Q1" s="7"/>
      <c r="T1" s="3"/>
      <c r="Y1" s="7"/>
      <c r="AG1" s="3"/>
      <c r="AH1" s="3"/>
      <c r="AI1" s="3"/>
      <c r="AK1" s="3"/>
    </row>
    <row r="2" spans="3:44">
      <c r="M2" s="4"/>
      <c r="N2" s="4"/>
      <c r="Q2" s="7"/>
      <c r="T2" s="3"/>
      <c r="Y2" s="7"/>
      <c r="AG2" s="3"/>
      <c r="AH2" s="3"/>
      <c r="AI2" s="3"/>
      <c r="AK2" s="3"/>
    </row>
    <row r="3" spans="3:44">
      <c r="M3" s="4"/>
      <c r="N3" s="4"/>
      <c r="Q3" s="7"/>
      <c r="T3" s="3"/>
      <c r="Y3" s="7"/>
      <c r="AG3" s="3"/>
      <c r="AH3" s="3"/>
      <c r="AI3" s="3"/>
      <c r="AK3" s="3"/>
    </row>
    <row r="4" spans="3:44">
      <c r="M4" s="4"/>
      <c r="N4" s="4"/>
      <c r="Q4" s="7"/>
      <c r="T4" s="3"/>
      <c r="Y4" s="7"/>
      <c r="AG4" s="3"/>
      <c r="AH4" s="3"/>
      <c r="AI4" s="3"/>
      <c r="AK4" s="3"/>
    </row>
    <row r="5" spans="3:44">
      <c r="M5" s="4"/>
      <c r="N5" s="4"/>
      <c r="Q5" s="7"/>
      <c r="T5" s="5"/>
      <c r="U5" s="3" t="s">
        <v>114</v>
      </c>
      <c r="V5" s="3" t="s">
        <v>312</v>
      </c>
      <c r="Y5" s="7"/>
      <c r="AG5" s="3"/>
      <c r="AH5" s="3"/>
      <c r="AI5" s="3"/>
      <c r="AK5" s="3"/>
    </row>
    <row r="6" spans="3:44">
      <c r="M6" s="5"/>
      <c r="N6" s="5"/>
      <c r="Q6" s="7"/>
      <c r="T6" s="5"/>
      <c r="W6" s="5" t="s">
        <v>4</v>
      </c>
      <c r="Y6" s="7"/>
      <c r="AG6" s="3"/>
      <c r="AH6" s="3"/>
      <c r="AI6" s="3"/>
      <c r="AK6" s="3"/>
      <c r="AQ6" s="8" t="s">
        <v>18</v>
      </c>
      <c r="AR6" s="8" t="s">
        <v>3</v>
      </c>
    </row>
    <row r="7" spans="3:44">
      <c r="M7" s="5"/>
      <c r="N7" s="5"/>
      <c r="Q7" s="7"/>
      <c r="T7" s="5"/>
      <c r="U7" s="3" t="s">
        <v>291</v>
      </c>
      <c r="V7" s="3" t="s">
        <v>292</v>
      </c>
      <c r="W7" s="5">
        <v>1864</v>
      </c>
      <c r="Y7" s="7"/>
      <c r="AG7" s="3"/>
      <c r="AH7" s="3"/>
      <c r="AI7" s="3"/>
      <c r="AK7" s="3"/>
    </row>
    <row r="8" spans="3:44">
      <c r="M8" s="5"/>
      <c r="N8" s="5"/>
      <c r="Q8" s="7"/>
      <c r="T8" s="3"/>
      <c r="V8" s="10"/>
      <c r="Y8" s="7"/>
      <c r="AG8" s="3"/>
      <c r="AH8" s="3"/>
      <c r="AI8" s="3"/>
      <c r="AK8" s="3"/>
    </row>
    <row r="9" spans="3:44">
      <c r="Q9" s="7"/>
      <c r="T9" s="3"/>
      <c r="V9" s="10"/>
      <c r="Y9" s="7"/>
      <c r="AG9" s="8"/>
      <c r="AH9" s="8"/>
      <c r="AI9" s="8"/>
    </row>
    <row r="10" spans="3:44">
      <c r="Q10" s="7"/>
      <c r="T10" s="5"/>
      <c r="U10" s="3" t="s">
        <v>7</v>
      </c>
      <c r="V10" s="3" t="s">
        <v>312</v>
      </c>
      <c r="W10" s="5">
        <v>1843</v>
      </c>
      <c r="Y10" s="7"/>
      <c r="AG10" s="8"/>
      <c r="AH10" s="8"/>
      <c r="AI10" s="8"/>
    </row>
    <row r="11" spans="3:44">
      <c r="Q11" s="7"/>
      <c r="T11" s="5"/>
      <c r="W11" s="5" t="s">
        <v>4</v>
      </c>
      <c r="Y11" s="7"/>
      <c r="AG11" s="8"/>
      <c r="AH11" s="8"/>
      <c r="AI11" s="8"/>
      <c r="AQ11" s="8" t="s">
        <v>37</v>
      </c>
      <c r="AR11" s="8" t="s">
        <v>3</v>
      </c>
    </row>
    <row r="12" spans="3:44">
      <c r="Q12" s="7"/>
      <c r="T12" s="5"/>
      <c r="U12" s="3" t="s">
        <v>246</v>
      </c>
      <c r="V12" s="3" t="s">
        <v>293</v>
      </c>
      <c r="W12" s="5">
        <v>1911</v>
      </c>
      <c r="Y12" s="7"/>
      <c r="AG12" s="8"/>
      <c r="AH12" s="8"/>
      <c r="AI12" s="8"/>
    </row>
    <row r="13" spans="3:44">
      <c r="Q13" s="7"/>
      <c r="T13" s="3"/>
      <c r="V13" s="10"/>
      <c r="Y13" s="7"/>
      <c r="Z13" s="9"/>
      <c r="AA13" s="9"/>
      <c r="AB13" s="9"/>
      <c r="AG13" s="8"/>
      <c r="AH13" s="8"/>
      <c r="AI13" s="8"/>
    </row>
    <row r="14" spans="3:44">
      <c r="C14" s="9"/>
      <c r="D14" s="9"/>
      <c r="E14" s="9"/>
      <c r="F14" s="9"/>
      <c r="G14" s="9"/>
      <c r="H14" s="9"/>
      <c r="I14" s="9"/>
      <c r="J14" s="9"/>
      <c r="K14" s="3"/>
      <c r="L14" s="9"/>
      <c r="M14" s="9"/>
      <c r="N14" s="9"/>
      <c r="R14" s="18"/>
      <c r="S14" s="13"/>
      <c r="T14" s="22"/>
      <c r="U14" s="13"/>
      <c r="V14" s="13"/>
      <c r="W14" s="22"/>
      <c r="X14" s="13"/>
      <c r="Y14" s="30"/>
      <c r="Z14" s="9"/>
      <c r="AA14" s="9"/>
      <c r="AB14" s="9"/>
      <c r="AC14" s="3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</row>
    <row r="15" spans="3:44">
      <c r="C15" s="9"/>
      <c r="D15" s="9"/>
      <c r="E15" s="9"/>
      <c r="F15" s="9"/>
      <c r="G15" s="9"/>
      <c r="H15" s="9"/>
      <c r="I15" s="9"/>
      <c r="J15" s="9"/>
      <c r="K15" s="3"/>
      <c r="L15" s="9"/>
      <c r="M15" s="9"/>
      <c r="N15" s="9"/>
      <c r="O15" s="5"/>
      <c r="P15" s="5"/>
      <c r="Q15" s="3" t="s">
        <v>114</v>
      </c>
      <c r="R15" s="3" t="s">
        <v>312</v>
      </c>
      <c r="S15" s="5">
        <v>1886</v>
      </c>
      <c r="T15" s="5"/>
      <c r="W15" s="9"/>
      <c r="X15" s="9"/>
      <c r="Y15" s="116" t="s">
        <v>312</v>
      </c>
      <c r="Z15" s="116"/>
      <c r="AA15" s="54">
        <v>1884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</row>
    <row r="16" spans="3:44">
      <c r="C16" s="9"/>
      <c r="D16" s="9"/>
      <c r="E16" s="9"/>
      <c r="F16" s="9"/>
      <c r="G16" s="9"/>
      <c r="H16" s="9"/>
      <c r="I16" s="9"/>
      <c r="J16" s="9"/>
      <c r="K16" s="3"/>
      <c r="L16" s="9"/>
      <c r="M16" s="9"/>
      <c r="N16" s="9"/>
      <c r="O16" s="5"/>
      <c r="P16" s="5"/>
      <c r="R16" s="3"/>
      <c r="S16" s="54" t="s">
        <v>4</v>
      </c>
      <c r="T16" s="5"/>
      <c r="W16" s="9"/>
      <c r="X16" s="9"/>
      <c r="Y16" s="116"/>
      <c r="Z16" s="116"/>
      <c r="AA16" s="54" t="s">
        <v>4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Q16" s="8" t="s">
        <v>64</v>
      </c>
      <c r="AR16" s="8" t="s">
        <v>3</v>
      </c>
    </row>
    <row r="17" spans="2:52" s="25" customFormat="1">
      <c r="B17" s="27"/>
      <c r="C17" s="9"/>
      <c r="D17" s="9"/>
      <c r="E17" s="9"/>
      <c r="F17" s="9"/>
      <c r="G17" s="9"/>
      <c r="H17" s="9"/>
      <c r="I17" s="9"/>
      <c r="J17" s="9"/>
      <c r="K17" s="3"/>
      <c r="O17" s="5"/>
      <c r="P17" s="5"/>
      <c r="Q17" s="3" t="s">
        <v>294</v>
      </c>
      <c r="R17" s="3" t="s">
        <v>295</v>
      </c>
      <c r="S17" s="5">
        <v>1956</v>
      </c>
      <c r="T17" s="5"/>
      <c r="U17" s="3"/>
      <c r="V17" s="3"/>
      <c r="W17" s="9"/>
      <c r="X17" s="9"/>
      <c r="Y17" s="116" t="s">
        <v>296</v>
      </c>
      <c r="Z17" s="116"/>
      <c r="AA17" s="54">
        <v>1910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27"/>
      <c r="AQ17" s="27"/>
      <c r="AR17" s="27"/>
      <c r="AY17" s="9"/>
      <c r="AZ17" s="9"/>
    </row>
    <row r="18" spans="2:52" s="25" customFormat="1">
      <c r="B18" s="27"/>
      <c r="C18" s="9"/>
      <c r="D18" s="9"/>
      <c r="E18" s="9"/>
      <c r="F18" s="9"/>
      <c r="G18" s="55"/>
      <c r="H18" s="55"/>
      <c r="I18" s="55"/>
      <c r="J18" s="55"/>
      <c r="K18" s="16"/>
      <c r="L18" s="56"/>
      <c r="M18" s="56"/>
      <c r="N18" s="56"/>
      <c r="O18" s="16"/>
      <c r="P18" s="16"/>
      <c r="Q18" s="16"/>
      <c r="R18" s="28"/>
      <c r="S18" s="16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9"/>
      <c r="AJ18" s="9"/>
      <c r="AK18" s="9"/>
      <c r="AL18" s="9"/>
      <c r="AM18" s="9"/>
      <c r="AN18" s="9"/>
      <c r="AO18" s="9"/>
      <c r="AP18" s="27"/>
      <c r="AQ18" s="27"/>
      <c r="AR18" s="27"/>
      <c r="AY18" s="9"/>
      <c r="AZ18" s="9"/>
    </row>
    <row r="19" spans="2:52">
      <c r="C19" s="9"/>
      <c r="D19" s="9"/>
      <c r="E19" s="9"/>
      <c r="F19" s="9"/>
      <c r="G19" s="57"/>
      <c r="H19" s="9"/>
      <c r="I19" s="9"/>
      <c r="J19" s="9"/>
      <c r="K19" s="57"/>
      <c r="L19" s="9"/>
      <c r="M19" s="9"/>
      <c r="N19" s="9"/>
      <c r="O19" s="57"/>
      <c r="P19" s="9"/>
      <c r="Q19" s="9"/>
      <c r="R19" s="57"/>
      <c r="S19" s="3"/>
      <c r="T19" s="9"/>
      <c r="U19" s="9"/>
      <c r="V19" s="57"/>
      <c r="X19" s="9"/>
      <c r="Y19" s="9"/>
      <c r="Z19" s="57"/>
      <c r="AA19" s="3"/>
      <c r="AB19" s="9"/>
      <c r="AC19" s="9"/>
      <c r="AD19" s="57"/>
      <c r="AE19" s="3"/>
      <c r="AF19" s="9"/>
      <c r="AG19" s="9"/>
      <c r="AH19" s="9"/>
      <c r="AI19" s="31"/>
      <c r="AJ19" s="3"/>
      <c r="AK19" s="9"/>
      <c r="AL19" s="9"/>
      <c r="AM19" s="9"/>
      <c r="AN19" s="9"/>
      <c r="AO19" s="9"/>
    </row>
    <row r="20" spans="2:52">
      <c r="C20" s="5"/>
      <c r="F20" s="116" t="s">
        <v>312</v>
      </c>
      <c r="G20" s="116"/>
      <c r="H20" s="54">
        <v>1938</v>
      </c>
      <c r="J20" s="116" t="s">
        <v>312</v>
      </c>
      <c r="K20" s="116"/>
      <c r="L20" s="54">
        <f>22+1911</f>
        <v>1933</v>
      </c>
      <c r="N20" s="116" t="s">
        <v>312</v>
      </c>
      <c r="O20" s="116"/>
      <c r="P20" s="4"/>
      <c r="Q20" s="116" t="s">
        <v>312</v>
      </c>
      <c r="R20" s="116"/>
      <c r="S20" s="54">
        <f>14+1911</f>
        <v>1925</v>
      </c>
      <c r="T20" s="3"/>
      <c r="U20" s="116" t="s">
        <v>312</v>
      </c>
      <c r="V20" s="116"/>
      <c r="W20" s="54">
        <f>1911+11</f>
        <v>1922</v>
      </c>
      <c r="Y20" s="116" t="s">
        <v>312</v>
      </c>
      <c r="Z20" s="116"/>
      <c r="AA20" s="54">
        <f>1911+8</f>
        <v>1919</v>
      </c>
      <c r="AB20" s="3"/>
      <c r="AC20" s="116" t="s">
        <v>312</v>
      </c>
      <c r="AD20" s="116"/>
      <c r="AE20" s="54">
        <f>1911+5</f>
        <v>1916</v>
      </c>
      <c r="AG20" s="9"/>
      <c r="AH20" s="116" t="s">
        <v>312</v>
      </c>
      <c r="AI20" s="116"/>
      <c r="AJ20" s="54">
        <f>1912</f>
        <v>1912</v>
      </c>
      <c r="AK20" s="3"/>
      <c r="AL20" s="3"/>
      <c r="AM20" s="3"/>
      <c r="AN20" s="3"/>
      <c r="AO20" s="3"/>
    </row>
    <row r="21" spans="2:52">
      <c r="C21" s="5"/>
      <c r="F21" s="116" t="s">
        <v>297</v>
      </c>
      <c r="G21" s="116"/>
      <c r="H21" s="54" t="s">
        <v>4</v>
      </c>
      <c r="J21" s="116" t="s">
        <v>76</v>
      </c>
      <c r="K21" s="116"/>
      <c r="L21" s="54" t="s">
        <v>4</v>
      </c>
      <c r="N21" s="116" t="s">
        <v>76</v>
      </c>
      <c r="O21" s="116"/>
      <c r="P21" s="4"/>
      <c r="Q21" s="116" t="s">
        <v>76</v>
      </c>
      <c r="R21" s="116"/>
      <c r="S21" s="54" t="s">
        <v>4</v>
      </c>
      <c r="T21" s="3"/>
      <c r="U21" s="116" t="s">
        <v>76</v>
      </c>
      <c r="V21" s="116"/>
      <c r="W21" s="54" t="s">
        <v>4</v>
      </c>
      <c r="Y21" s="116" t="s">
        <v>76</v>
      </c>
      <c r="Z21" s="116"/>
      <c r="AA21" s="54" t="s">
        <v>4</v>
      </c>
      <c r="AB21" s="3"/>
      <c r="AC21" s="116" t="s">
        <v>298</v>
      </c>
      <c r="AD21" s="116"/>
      <c r="AE21" s="54" t="s">
        <v>4</v>
      </c>
      <c r="AG21" s="9"/>
      <c r="AH21" s="116" t="s">
        <v>76</v>
      </c>
      <c r="AI21" s="116"/>
      <c r="AJ21" s="54" t="s">
        <v>4</v>
      </c>
      <c r="AK21" s="3"/>
      <c r="AL21" s="3"/>
      <c r="AM21" s="3"/>
      <c r="AN21" s="3"/>
      <c r="AO21" s="3"/>
      <c r="AQ21" s="8" t="s">
        <v>93</v>
      </c>
      <c r="AR21" s="8" t="s">
        <v>3</v>
      </c>
    </row>
    <row r="22" spans="2:52" ht="21" customHeight="1">
      <c r="C22" s="9"/>
      <c r="D22" s="9"/>
      <c r="E22" s="9"/>
      <c r="F22" s="116" t="s">
        <v>299</v>
      </c>
      <c r="G22" s="116"/>
      <c r="H22" s="54">
        <f>89+1911</f>
        <v>2000</v>
      </c>
      <c r="I22" s="9"/>
      <c r="J22" s="116" t="s">
        <v>300</v>
      </c>
      <c r="K22" s="116"/>
      <c r="L22" s="54">
        <f>69+1911</f>
        <v>1980</v>
      </c>
      <c r="N22" s="116" t="s">
        <v>114</v>
      </c>
      <c r="O22" s="116"/>
      <c r="P22" s="4"/>
      <c r="Q22" s="116" t="s">
        <v>91</v>
      </c>
      <c r="R22" s="116"/>
      <c r="S22" s="54">
        <f>46+1911</f>
        <v>1957</v>
      </c>
      <c r="T22" s="3"/>
      <c r="U22" s="116" t="s">
        <v>182</v>
      </c>
      <c r="V22" s="116"/>
      <c r="W22" s="54">
        <f>1911+42</f>
        <v>1953</v>
      </c>
      <c r="Y22" s="116" t="s">
        <v>301</v>
      </c>
      <c r="Z22" s="116"/>
      <c r="AA22" s="54">
        <f>1911+89</f>
        <v>2000</v>
      </c>
      <c r="AB22" s="3"/>
      <c r="AC22" s="116" t="s">
        <v>302</v>
      </c>
      <c r="AD22" s="116"/>
      <c r="AE22" s="54"/>
      <c r="AG22" s="9"/>
      <c r="AH22" s="116" t="s">
        <v>232</v>
      </c>
      <c r="AI22" s="116"/>
      <c r="AJ22" s="54">
        <v>1965</v>
      </c>
      <c r="AK22" s="3"/>
      <c r="AL22" s="3"/>
      <c r="AM22" s="3"/>
      <c r="AN22" s="3"/>
      <c r="AO22" s="3"/>
    </row>
    <row r="23" spans="2:52" ht="21" customHeight="1">
      <c r="C23" s="9"/>
      <c r="D23" s="9"/>
      <c r="E23" s="9"/>
      <c r="F23" s="58"/>
      <c r="G23" s="9"/>
      <c r="H23" s="9"/>
      <c r="I23" s="9"/>
      <c r="J23" s="58"/>
      <c r="K23" s="31"/>
      <c r="R23" s="3"/>
      <c r="S23" s="3"/>
      <c r="T23" s="3"/>
      <c r="X23" s="9"/>
      <c r="Y23" s="58"/>
      <c r="Z23" s="9"/>
      <c r="AA23" s="9"/>
      <c r="AB23" s="3"/>
      <c r="AC23" s="3"/>
      <c r="AD23" s="3"/>
      <c r="AE23" s="3"/>
      <c r="AF23" s="9"/>
      <c r="AG23" s="55"/>
      <c r="AH23" s="55"/>
      <c r="AI23" s="59"/>
      <c r="AJ23" s="55"/>
      <c r="AK23" s="3"/>
      <c r="AL23" s="3"/>
      <c r="AM23" s="3"/>
      <c r="AN23" s="3"/>
      <c r="AO23" s="3"/>
    </row>
    <row r="24" spans="2:52" ht="21" customHeight="1">
      <c r="C24" s="9"/>
      <c r="D24" s="9"/>
      <c r="E24" s="58"/>
      <c r="F24" s="19"/>
      <c r="G24" s="19"/>
      <c r="H24" s="31"/>
      <c r="I24" s="9"/>
      <c r="J24" s="116" t="s">
        <v>312</v>
      </c>
      <c r="K24" s="116"/>
      <c r="R24" s="3"/>
      <c r="S24" s="3"/>
      <c r="T24" s="3"/>
      <c r="X24" s="58"/>
      <c r="Y24" s="19"/>
      <c r="Z24" s="19"/>
      <c r="AA24" s="31"/>
      <c r="AB24" s="9"/>
      <c r="AC24" s="9"/>
      <c r="AD24" s="3"/>
      <c r="AE24" s="3"/>
      <c r="AF24" s="58"/>
      <c r="AG24" s="9"/>
      <c r="AH24" s="9"/>
      <c r="AI24" s="9"/>
      <c r="AJ24" s="9"/>
      <c r="AK24" s="31"/>
      <c r="AL24" s="3"/>
      <c r="AM24" s="3"/>
      <c r="AN24" s="3"/>
      <c r="AO24" s="3"/>
    </row>
    <row r="25" spans="2:52" s="25" customFormat="1" ht="21" customHeight="1">
      <c r="B25" s="5"/>
      <c r="C25" s="9"/>
      <c r="D25" s="9"/>
      <c r="E25" s="116" t="s">
        <v>312</v>
      </c>
      <c r="F25" s="116"/>
      <c r="G25" s="116" t="s">
        <v>312</v>
      </c>
      <c r="H25" s="116"/>
      <c r="I25" s="9"/>
      <c r="J25" s="116" t="s">
        <v>303</v>
      </c>
      <c r="K25" s="116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16" t="s">
        <v>312</v>
      </c>
      <c r="Y25" s="116"/>
      <c r="Z25" s="116" t="s">
        <v>312</v>
      </c>
      <c r="AA25" s="116"/>
      <c r="AB25" s="9"/>
      <c r="AC25" s="9"/>
      <c r="AD25" s="9"/>
      <c r="AE25" s="9"/>
      <c r="AF25" s="116" t="s">
        <v>312</v>
      </c>
      <c r="AG25" s="116"/>
      <c r="AH25" s="54">
        <v>1940</v>
      </c>
      <c r="AJ25" s="116" t="s">
        <v>312</v>
      </c>
      <c r="AK25" s="116"/>
      <c r="AL25" s="9"/>
      <c r="AM25" s="1"/>
      <c r="AN25" s="1"/>
      <c r="AO25" s="27"/>
      <c r="AP25" s="27"/>
    </row>
    <row r="26" spans="2:52" s="25" customFormat="1" ht="21" customHeight="1">
      <c r="B26" s="27"/>
      <c r="C26" s="9"/>
      <c r="D26" s="9"/>
      <c r="E26" s="116" t="s">
        <v>40</v>
      </c>
      <c r="F26" s="116"/>
      <c r="G26" s="116" t="s">
        <v>131</v>
      </c>
      <c r="H26" s="116"/>
      <c r="I26" s="9"/>
      <c r="J26" s="116" t="s">
        <v>195</v>
      </c>
      <c r="K26" s="116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16" t="s">
        <v>87</v>
      </c>
      <c r="Y26" s="116"/>
      <c r="Z26" s="116" t="s">
        <v>272</v>
      </c>
      <c r="AA26" s="116"/>
      <c r="AB26" s="9"/>
      <c r="AC26" s="9"/>
      <c r="AD26" s="9"/>
      <c r="AE26" s="9"/>
      <c r="AF26" s="116" t="s">
        <v>131</v>
      </c>
      <c r="AG26" s="116"/>
      <c r="AH26" s="4"/>
      <c r="AJ26" s="116" t="s">
        <v>131</v>
      </c>
      <c r="AK26" s="116"/>
      <c r="AL26" s="9"/>
      <c r="AM26" s="1"/>
      <c r="AN26" s="1"/>
      <c r="AO26" s="27"/>
      <c r="AP26" s="27"/>
      <c r="AQ26" s="8" t="s">
        <v>304</v>
      </c>
      <c r="AR26" s="8" t="s">
        <v>3</v>
      </c>
    </row>
    <row r="27" spans="2:52" ht="21" customHeight="1">
      <c r="C27" s="9"/>
      <c r="D27" s="9"/>
      <c r="E27" s="116" t="s">
        <v>305</v>
      </c>
      <c r="F27" s="116"/>
      <c r="G27" s="116" t="s">
        <v>92</v>
      </c>
      <c r="H27" s="116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16" t="s">
        <v>43</v>
      </c>
      <c r="Y27" s="116"/>
      <c r="Z27" s="116" t="s">
        <v>227</v>
      </c>
      <c r="AA27" s="116"/>
      <c r="AB27" s="9"/>
      <c r="AC27" s="9"/>
      <c r="AD27" s="9"/>
      <c r="AE27" s="9"/>
      <c r="AF27" s="116" t="s">
        <v>41</v>
      </c>
      <c r="AG27" s="116"/>
      <c r="AH27" s="4"/>
      <c r="AJ27" s="116" t="s">
        <v>306</v>
      </c>
      <c r="AK27" s="116"/>
      <c r="AL27" s="9"/>
    </row>
    <row r="28" spans="2:52" ht="21" customHeight="1">
      <c r="C28" s="9"/>
      <c r="D28" s="9"/>
      <c r="E28" s="58"/>
      <c r="F28" s="31"/>
      <c r="G28" s="58"/>
      <c r="H28" s="3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58"/>
      <c r="AG28" s="31"/>
      <c r="AH28" s="9"/>
      <c r="AI28" s="9"/>
      <c r="AJ28" s="9"/>
      <c r="AK28" s="9"/>
      <c r="AL28" s="9"/>
    </row>
    <row r="29" spans="2:52" ht="21" customHeight="1">
      <c r="C29" s="9"/>
      <c r="D29" s="9"/>
      <c r="E29" s="116" t="s">
        <v>312</v>
      </c>
      <c r="F29" s="116"/>
      <c r="G29" s="116" t="s">
        <v>312</v>
      </c>
      <c r="H29" s="116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AD29" s="9"/>
      <c r="AE29" s="9"/>
      <c r="AF29" s="116" t="s">
        <v>312</v>
      </c>
      <c r="AG29" s="116"/>
      <c r="AH29" s="54">
        <v>1973</v>
      </c>
      <c r="AJ29" s="9"/>
      <c r="AK29" s="9"/>
      <c r="AL29" s="9"/>
    </row>
    <row r="30" spans="2:52" ht="21" customHeight="1">
      <c r="E30" s="116" t="s">
        <v>104</v>
      </c>
      <c r="F30" s="116"/>
      <c r="G30" s="116" t="s">
        <v>187</v>
      </c>
      <c r="H30" s="116"/>
      <c r="AB30" s="3"/>
      <c r="AC30" s="3"/>
      <c r="AF30" s="116" t="s">
        <v>75</v>
      </c>
      <c r="AG30" s="116"/>
      <c r="AH30" s="4"/>
      <c r="AQ30" s="8" t="s">
        <v>307</v>
      </c>
      <c r="AR30" s="8" t="s">
        <v>3</v>
      </c>
    </row>
    <row r="31" spans="2:52" ht="21" customHeight="1">
      <c r="E31" s="116" t="s">
        <v>308</v>
      </c>
      <c r="F31" s="116"/>
      <c r="G31" s="116" t="s">
        <v>309</v>
      </c>
      <c r="H31" s="116"/>
      <c r="AB31" s="3"/>
      <c r="AC31" s="3"/>
      <c r="AD31" s="3"/>
      <c r="AE31" s="3"/>
      <c r="AF31" s="116" t="s">
        <v>69</v>
      </c>
      <c r="AG31" s="116"/>
      <c r="AH31" s="4"/>
    </row>
    <row r="32" spans="2:52" ht="21" customHeight="1">
      <c r="AB32" s="3"/>
      <c r="AC32" s="3"/>
      <c r="AD32" s="3"/>
      <c r="AE32" s="9"/>
      <c r="AF32" s="58"/>
      <c r="AG32" s="9"/>
      <c r="AH32" s="9"/>
      <c r="AI32" s="9"/>
    </row>
    <row r="33" spans="28:44">
      <c r="AB33" s="3"/>
      <c r="AC33" s="3"/>
      <c r="AD33" s="3"/>
      <c r="AE33" s="58"/>
      <c r="AF33" s="19"/>
      <c r="AG33" s="19"/>
      <c r="AH33" s="31"/>
      <c r="AI33" s="9"/>
    </row>
    <row r="34" spans="28:44">
      <c r="AB34" s="3"/>
      <c r="AC34" s="3"/>
      <c r="AD34" s="3"/>
      <c r="AE34" s="116" t="s">
        <v>312</v>
      </c>
      <c r="AF34" s="116"/>
      <c r="AG34" s="116" t="s">
        <v>312</v>
      </c>
      <c r="AH34" s="116"/>
      <c r="AI34" s="3"/>
    </row>
    <row r="35" spans="28:44">
      <c r="AB35" s="3"/>
      <c r="AC35" s="3"/>
      <c r="AD35" s="3"/>
      <c r="AE35" s="116" t="s">
        <v>310</v>
      </c>
      <c r="AF35" s="116"/>
      <c r="AG35" s="116" t="s">
        <v>310</v>
      </c>
      <c r="AH35" s="116"/>
      <c r="AI35" s="3"/>
      <c r="AQ35" s="8" t="s">
        <v>311</v>
      </c>
      <c r="AR35" s="8" t="s">
        <v>3</v>
      </c>
    </row>
    <row r="36" spans="28:44">
      <c r="AB36" s="3"/>
      <c r="AC36" s="3"/>
      <c r="AD36" s="3"/>
      <c r="AE36" s="116" t="s">
        <v>160</v>
      </c>
      <c r="AF36" s="116"/>
      <c r="AG36" s="116" t="s">
        <v>202</v>
      </c>
      <c r="AH36" s="116"/>
      <c r="AI36" s="3"/>
    </row>
    <row r="37" spans="28:44">
      <c r="AB37" s="3"/>
      <c r="AC37" s="3"/>
      <c r="AD37" s="3"/>
      <c r="AE37" s="3"/>
      <c r="AF37" s="6"/>
      <c r="AG37" s="3"/>
      <c r="AH37" s="3"/>
    </row>
    <row r="38" spans="28:44">
      <c r="AB38" s="3"/>
      <c r="AC38" s="3"/>
      <c r="AD38" s="3"/>
      <c r="AE38" s="3"/>
      <c r="AF38" s="116"/>
      <c r="AG38" s="116"/>
      <c r="AH38" s="4"/>
    </row>
    <row r="39" spans="28:44">
      <c r="AB39" s="3"/>
      <c r="AC39" s="3"/>
      <c r="AD39" s="3"/>
      <c r="AE39" s="3"/>
      <c r="AF39" s="116"/>
      <c r="AG39" s="116"/>
      <c r="AH39" s="4"/>
    </row>
    <row r="40" spans="28:44">
      <c r="AD40" s="3"/>
      <c r="AE40" s="3"/>
      <c r="AF40" s="116"/>
      <c r="AG40" s="116"/>
      <c r="AH40" s="4"/>
    </row>
  </sheetData>
  <mergeCells count="66">
    <mergeCell ref="Y15:Z15"/>
    <mergeCell ref="Y16:Z16"/>
    <mergeCell ref="Y17:Z17"/>
    <mergeCell ref="F20:G20"/>
    <mergeCell ref="J20:K20"/>
    <mergeCell ref="N20:O20"/>
    <mergeCell ref="Q20:R20"/>
    <mergeCell ref="U20:V20"/>
    <mergeCell ref="Y20:Z20"/>
    <mergeCell ref="AC20:AD20"/>
    <mergeCell ref="AH20:AI20"/>
    <mergeCell ref="F21:G21"/>
    <mergeCell ref="J21:K21"/>
    <mergeCell ref="N21:O21"/>
    <mergeCell ref="Q21:R21"/>
    <mergeCell ref="U21:V21"/>
    <mergeCell ref="Y21:Z21"/>
    <mergeCell ref="AC21:AD21"/>
    <mergeCell ref="AH21:AI21"/>
    <mergeCell ref="AC22:AD22"/>
    <mergeCell ref="AH22:AI22"/>
    <mergeCell ref="J24:K24"/>
    <mergeCell ref="E25:F25"/>
    <mergeCell ref="G25:H25"/>
    <mergeCell ref="J25:K25"/>
    <mergeCell ref="X25:Y25"/>
    <mergeCell ref="Z25:AA25"/>
    <mergeCell ref="AF25:AG25"/>
    <mergeCell ref="F22:G22"/>
    <mergeCell ref="J22:K22"/>
    <mergeCell ref="N22:O22"/>
    <mergeCell ref="Q22:R22"/>
    <mergeCell ref="U22:V22"/>
    <mergeCell ref="Y22:Z22"/>
    <mergeCell ref="AJ27:AK27"/>
    <mergeCell ref="AJ25:AK25"/>
    <mergeCell ref="E26:F26"/>
    <mergeCell ref="G26:H26"/>
    <mergeCell ref="J26:K26"/>
    <mergeCell ref="X26:Y26"/>
    <mergeCell ref="Z26:AA26"/>
    <mergeCell ref="AF26:AG26"/>
    <mergeCell ref="AJ26:AK26"/>
    <mergeCell ref="E27:F27"/>
    <mergeCell ref="G27:H27"/>
    <mergeCell ref="X27:Y27"/>
    <mergeCell ref="Z27:AA27"/>
    <mergeCell ref="AF27:AG27"/>
    <mergeCell ref="AE35:AF35"/>
    <mergeCell ref="AG35:AH35"/>
    <mergeCell ref="E29:F29"/>
    <mergeCell ref="G29:H29"/>
    <mergeCell ref="AF29:AG29"/>
    <mergeCell ref="E30:F30"/>
    <mergeCell ref="G30:H30"/>
    <mergeCell ref="AF30:AG30"/>
    <mergeCell ref="E31:F31"/>
    <mergeCell ref="G31:H31"/>
    <mergeCell ref="AF31:AG31"/>
    <mergeCell ref="AE34:AF34"/>
    <mergeCell ref="AG34:AH34"/>
    <mergeCell ref="AE36:AF36"/>
    <mergeCell ref="AG36:AH36"/>
    <mergeCell ref="AF38:AG38"/>
    <mergeCell ref="AF39:AG39"/>
    <mergeCell ref="AF40:AG40"/>
  </mergeCells>
  <phoneticPr fontId="3" type="noConversion"/>
  <printOptions horizontalCentered="1"/>
  <pageMargins left="0.31496062992125984" right="0.31496062992125984" top="0.78740157480314965" bottom="0.35433070866141736" header="0.31496062992125984" footer="0.31496062992125984"/>
  <pageSetup paperSize="9" scale="6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4:BF47"/>
  <sheetViews>
    <sheetView showGridLines="0" zoomScale="85" zoomScaleNormal="85" workbookViewId="0">
      <selection activeCell="AL14" sqref="AL14"/>
    </sheetView>
  </sheetViews>
  <sheetFormatPr defaultColWidth="3.77734375" defaultRowHeight="22.2"/>
  <cols>
    <col min="1" max="3" width="3.77734375" style="1"/>
    <col min="4" max="10" width="3.77734375" style="2"/>
    <col min="11" max="12" width="3.77734375" style="3"/>
    <col min="13" max="13" width="3.77734375" style="2"/>
    <col min="14" max="14" width="3.77734375" style="4"/>
    <col min="15" max="19" width="3.77734375" style="3"/>
    <col min="20" max="20" width="3.77734375" style="4"/>
    <col min="21" max="42" width="3.77734375" style="3"/>
    <col min="43" max="47" width="3.77734375" style="6"/>
    <col min="48" max="52" width="3.77734375" style="7"/>
    <col min="53" max="16384" width="3.77734375" style="9"/>
  </cols>
  <sheetData>
    <row r="4" spans="6:54">
      <c r="F4" s="9"/>
      <c r="G4" s="9"/>
      <c r="H4" s="9"/>
      <c r="I4" s="9"/>
      <c r="J4" s="9"/>
      <c r="K4" s="9"/>
      <c r="V4" s="9"/>
      <c r="W4" s="3" t="s">
        <v>214</v>
      </c>
      <c r="X4" s="3" t="s">
        <v>348</v>
      </c>
      <c r="Y4" s="5"/>
    </row>
    <row r="5" spans="6:54" ht="17.399999999999999" customHeight="1">
      <c r="F5" s="9"/>
      <c r="G5" s="9"/>
      <c r="H5" s="9"/>
      <c r="I5" s="9"/>
      <c r="J5" s="9"/>
      <c r="K5" s="9"/>
      <c r="N5" s="69"/>
      <c r="T5" s="69"/>
      <c r="V5" s="9"/>
      <c r="Y5" s="5"/>
      <c r="BA5" s="8" t="s">
        <v>2</v>
      </c>
      <c r="BB5" s="8" t="s">
        <v>3</v>
      </c>
    </row>
    <row r="6" spans="6:54">
      <c r="F6" s="9"/>
      <c r="G6" s="9"/>
      <c r="H6" s="9"/>
      <c r="I6" s="9"/>
      <c r="J6" s="9"/>
      <c r="K6" s="9"/>
      <c r="N6" s="69"/>
      <c r="T6" s="69"/>
      <c r="V6" s="9"/>
      <c r="W6" s="3" t="s">
        <v>20</v>
      </c>
      <c r="X6" s="3" t="s">
        <v>349</v>
      </c>
      <c r="Y6" s="5"/>
    </row>
    <row r="7" spans="6:54" ht="15" customHeight="1">
      <c r="F7" s="9"/>
      <c r="G7" s="9"/>
      <c r="H7" s="9"/>
      <c r="I7" s="9"/>
      <c r="J7" s="9"/>
      <c r="K7" s="9"/>
      <c r="N7" s="69"/>
      <c r="T7" s="69"/>
      <c r="X7" s="10"/>
    </row>
    <row r="8" spans="6:54">
      <c r="F8" s="9"/>
      <c r="G8" s="9"/>
      <c r="H8" s="9"/>
      <c r="I8" s="9"/>
      <c r="J8" s="9"/>
      <c r="K8" s="9"/>
      <c r="N8" s="69"/>
      <c r="T8" s="69"/>
      <c r="W8" s="3" t="s">
        <v>374</v>
      </c>
      <c r="X8" s="3" t="s">
        <v>366</v>
      </c>
      <c r="Y8" s="54">
        <v>1749</v>
      </c>
    </row>
    <row r="9" spans="6:54" ht="17.399999999999999" customHeight="1">
      <c r="F9" s="9"/>
      <c r="G9" s="9"/>
      <c r="H9" s="9"/>
      <c r="I9" s="9"/>
      <c r="J9" s="9"/>
      <c r="K9" s="9"/>
      <c r="N9" s="69"/>
      <c r="T9" s="69"/>
      <c r="Y9" s="54" t="s">
        <v>4</v>
      </c>
      <c r="BA9" s="8" t="s">
        <v>8</v>
      </c>
      <c r="BB9" s="8" t="s">
        <v>3</v>
      </c>
    </row>
    <row r="10" spans="6:54">
      <c r="F10" s="9"/>
      <c r="G10" s="9"/>
      <c r="H10" s="9"/>
      <c r="I10" s="9"/>
      <c r="J10" s="9"/>
      <c r="K10" s="9"/>
      <c r="N10" s="69"/>
      <c r="T10" s="69"/>
      <c r="W10" s="3" t="s">
        <v>368</v>
      </c>
      <c r="X10" s="3" t="s">
        <v>367</v>
      </c>
      <c r="Y10" s="54">
        <v>1799</v>
      </c>
    </row>
    <row r="11" spans="6:54" ht="15" customHeight="1">
      <c r="F11" s="9"/>
      <c r="G11" s="9"/>
      <c r="H11" s="9"/>
      <c r="I11" s="9"/>
      <c r="J11" s="9"/>
      <c r="K11" s="9"/>
      <c r="N11" s="69"/>
      <c r="T11" s="69"/>
      <c r="X11" s="10"/>
      <c r="Y11"/>
    </row>
    <row r="12" spans="6:54">
      <c r="F12" s="9"/>
      <c r="G12" s="9"/>
      <c r="H12" s="9"/>
      <c r="I12" s="9"/>
      <c r="J12" s="9"/>
      <c r="K12" s="9"/>
      <c r="N12" s="69"/>
      <c r="T12" s="69"/>
      <c r="U12" s="5"/>
      <c r="V12" s="54">
        <v>1778</v>
      </c>
      <c r="W12" s="3" t="s">
        <v>371</v>
      </c>
      <c r="X12" s="3" t="s">
        <v>366</v>
      </c>
      <c r="Y12" s="54">
        <v>1776</v>
      </c>
      <c r="Z12" s="5"/>
    </row>
    <row r="13" spans="6:54">
      <c r="F13" s="9"/>
      <c r="G13" s="9"/>
      <c r="H13" s="9"/>
      <c r="I13" s="9"/>
      <c r="J13" s="9"/>
      <c r="K13" s="9"/>
      <c r="N13" s="69"/>
      <c r="T13" s="69"/>
      <c r="U13" s="5"/>
      <c r="V13" s="54" t="s">
        <v>4</v>
      </c>
      <c r="W13" s="3" t="s">
        <v>372</v>
      </c>
      <c r="X13" s="3" t="s">
        <v>369</v>
      </c>
      <c r="Y13" s="54" t="s">
        <v>4</v>
      </c>
      <c r="Z13" s="5"/>
      <c r="BA13" s="8" t="s">
        <v>12</v>
      </c>
      <c r="BB13" s="8" t="s">
        <v>3</v>
      </c>
    </row>
    <row r="14" spans="6:54">
      <c r="F14" s="9"/>
      <c r="G14" s="9"/>
      <c r="H14" s="9"/>
      <c r="I14" s="9"/>
      <c r="J14" s="9"/>
      <c r="K14" s="9"/>
      <c r="N14" s="69"/>
      <c r="T14" s="69"/>
      <c r="U14" s="5"/>
      <c r="V14" s="54">
        <v>1840</v>
      </c>
      <c r="W14" s="3" t="s">
        <v>373</v>
      </c>
      <c r="X14" s="3" t="s">
        <v>370</v>
      </c>
      <c r="Y14" s="54">
        <v>1829</v>
      </c>
      <c r="Z14" s="5"/>
    </row>
    <row r="15" spans="6:54" ht="15" customHeight="1">
      <c r="F15" s="9"/>
      <c r="G15" s="9"/>
      <c r="H15" s="9"/>
      <c r="I15" s="9"/>
      <c r="J15" s="9"/>
      <c r="K15" s="9"/>
      <c r="N15" s="69"/>
      <c r="T15" s="69"/>
      <c r="X15" s="10"/>
    </row>
    <row r="16" spans="6:54">
      <c r="F16" s="9"/>
      <c r="G16" s="9"/>
      <c r="H16" s="9"/>
      <c r="I16" s="9"/>
      <c r="J16" s="9"/>
      <c r="K16" s="9"/>
      <c r="N16" s="69"/>
      <c r="T16" s="69"/>
      <c r="U16" s="5">
        <v>1849</v>
      </c>
      <c r="V16" s="3" t="s">
        <v>0</v>
      </c>
      <c r="W16" s="3" t="s">
        <v>348</v>
      </c>
      <c r="X16" s="3" t="s">
        <v>312</v>
      </c>
      <c r="Y16" s="5">
        <v>1820</v>
      </c>
      <c r="Z16" s="5"/>
    </row>
    <row r="17" spans="1:58" ht="17.399999999999999" customHeight="1">
      <c r="F17" s="9"/>
      <c r="G17" s="9"/>
      <c r="H17" s="9"/>
      <c r="I17" s="9"/>
      <c r="J17" s="9"/>
      <c r="K17" s="9"/>
      <c r="N17" s="69"/>
      <c r="T17" s="69"/>
      <c r="U17" s="5" t="s">
        <v>4</v>
      </c>
      <c r="Y17" s="5" t="s">
        <v>4</v>
      </c>
      <c r="Z17" s="5"/>
      <c r="BA17" s="8" t="s">
        <v>18</v>
      </c>
      <c r="BB17" s="8" t="s">
        <v>3</v>
      </c>
    </row>
    <row r="18" spans="1:58">
      <c r="F18" s="9"/>
      <c r="G18" s="9"/>
      <c r="H18" s="9"/>
      <c r="I18" s="9"/>
      <c r="J18" s="9"/>
      <c r="K18" s="9"/>
      <c r="N18" s="69"/>
      <c r="T18" s="69"/>
      <c r="U18" s="5">
        <v>1891</v>
      </c>
      <c r="V18" s="3" t="s">
        <v>5</v>
      </c>
      <c r="W18" s="3" t="s">
        <v>349</v>
      </c>
      <c r="X18" s="3" t="s">
        <v>6</v>
      </c>
      <c r="Y18" s="5">
        <v>1872</v>
      </c>
      <c r="Z18" s="5"/>
    </row>
    <row r="19" spans="1:58" ht="15" customHeight="1">
      <c r="F19" s="9"/>
      <c r="G19" s="9"/>
      <c r="H19" s="9"/>
      <c r="I19" s="9"/>
      <c r="J19" s="9"/>
      <c r="K19" s="9"/>
      <c r="X19" s="10"/>
    </row>
    <row r="20" spans="1:58">
      <c r="V20" s="5">
        <v>1851</v>
      </c>
      <c r="W20" s="3" t="s">
        <v>7</v>
      </c>
      <c r="X20" s="3" t="s">
        <v>312</v>
      </c>
      <c r="Y20" s="5">
        <v>1850</v>
      </c>
      <c r="AQ20" s="8"/>
      <c r="AR20" s="8"/>
    </row>
    <row r="21" spans="1:58" ht="17.399999999999999" customHeight="1">
      <c r="T21" s="5"/>
      <c r="V21" s="5" t="s">
        <v>4</v>
      </c>
      <c r="Y21" s="5" t="s">
        <v>4</v>
      </c>
      <c r="AK21" s="5"/>
      <c r="AN21" s="5"/>
      <c r="AQ21" s="8"/>
      <c r="AR21" s="8"/>
      <c r="BA21" s="8" t="s">
        <v>37</v>
      </c>
      <c r="BB21" s="8" t="s">
        <v>3</v>
      </c>
    </row>
    <row r="22" spans="1:58">
      <c r="T22" s="5"/>
      <c r="V22" s="5">
        <v>1881</v>
      </c>
      <c r="W22" s="3" t="s">
        <v>9</v>
      </c>
      <c r="X22" s="3" t="s">
        <v>10</v>
      </c>
      <c r="Y22" s="5">
        <v>1893</v>
      </c>
      <c r="AK22" s="5"/>
      <c r="AN22" s="5"/>
      <c r="AQ22" s="8"/>
      <c r="AR22" s="8"/>
    </row>
    <row r="23" spans="1:58" ht="15" customHeight="1">
      <c r="T23" s="5"/>
      <c r="W23" s="5"/>
      <c r="X23" s="10"/>
      <c r="AK23" s="5"/>
      <c r="AN23" s="5"/>
      <c r="AQ23" s="8"/>
      <c r="AR23" s="8"/>
    </row>
    <row r="24" spans="1:58" ht="15" customHeight="1">
      <c r="C24" s="11"/>
      <c r="D24" s="12"/>
      <c r="E24" s="12"/>
      <c r="F24" s="12"/>
      <c r="G24" s="12"/>
      <c r="H24" s="12"/>
      <c r="I24" s="12"/>
      <c r="J24" s="12"/>
      <c r="K24" s="13"/>
      <c r="L24" s="13"/>
      <c r="M24" s="12"/>
      <c r="N24" s="14"/>
      <c r="O24" s="13"/>
      <c r="P24" s="13"/>
      <c r="Q24" s="13"/>
      <c r="R24" s="13"/>
      <c r="S24" s="13"/>
      <c r="T24" s="14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0"/>
      <c r="AQ24" s="8"/>
      <c r="AR24" s="8"/>
    </row>
    <row r="25" spans="1:58" s="25" customFormat="1">
      <c r="A25" s="5">
        <v>1899</v>
      </c>
      <c r="B25" s="3" t="s">
        <v>11</v>
      </c>
      <c r="C25" s="3" t="s">
        <v>312</v>
      </c>
      <c r="D25" s="5">
        <v>1893</v>
      </c>
      <c r="E25" s="2"/>
      <c r="F25" s="2"/>
      <c r="G25" s="2"/>
      <c r="H25" s="2"/>
      <c r="I25" s="2"/>
      <c r="J25" s="2"/>
      <c r="K25" s="3"/>
      <c r="L25" s="3"/>
      <c r="M25" s="2"/>
      <c r="N25" s="4"/>
      <c r="O25" s="3"/>
      <c r="P25" s="3"/>
      <c r="Q25" s="3"/>
      <c r="R25" s="3"/>
      <c r="S25" s="3"/>
      <c r="T25" s="4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">
        <v>1875</v>
      </c>
      <c r="AL25" s="3" t="s">
        <v>7</v>
      </c>
      <c r="AM25" s="3" t="s">
        <v>312</v>
      </c>
      <c r="AN25" s="5">
        <v>1871</v>
      </c>
      <c r="AO25" s="3"/>
      <c r="AP25" s="3"/>
      <c r="AQ25" s="8"/>
      <c r="AR25" s="8"/>
      <c r="AS25" s="6"/>
      <c r="AT25" s="6"/>
      <c r="AU25" s="6"/>
      <c r="AV25" s="7"/>
      <c r="AW25" s="7"/>
      <c r="AX25" s="7"/>
      <c r="AY25" s="7"/>
      <c r="AZ25" s="7"/>
      <c r="BA25" s="9"/>
      <c r="BB25" s="9"/>
      <c r="BC25" s="9"/>
      <c r="BD25" s="9"/>
      <c r="BE25" s="9"/>
      <c r="BF25" s="9"/>
    </row>
    <row r="26" spans="1:58" s="25" customFormat="1">
      <c r="A26" s="5" t="s">
        <v>4</v>
      </c>
      <c r="B26" s="3"/>
      <c r="C26" s="3" t="s">
        <v>13</v>
      </c>
      <c r="D26" s="5" t="s">
        <v>4</v>
      </c>
      <c r="E26" s="2"/>
      <c r="F26" s="2"/>
      <c r="G26" s="2"/>
      <c r="H26" s="2"/>
      <c r="I26" s="2"/>
      <c r="J26" s="2"/>
      <c r="K26" s="3"/>
      <c r="L26" s="4"/>
      <c r="M26" s="2"/>
      <c r="N26" s="4"/>
      <c r="O26" s="3"/>
      <c r="P26" s="4"/>
      <c r="Q26" s="3"/>
      <c r="R26" s="3"/>
      <c r="S26" s="4"/>
      <c r="T26" s="4"/>
      <c r="U26" s="3"/>
      <c r="V26" s="4"/>
      <c r="W26" s="3"/>
      <c r="X26" s="3"/>
      <c r="Y26" s="4"/>
      <c r="Z26" s="4"/>
      <c r="AA26" s="3"/>
      <c r="AB26" s="4"/>
      <c r="AC26" s="3"/>
      <c r="AD26" s="3"/>
      <c r="AE26" s="4"/>
      <c r="AF26" s="3"/>
      <c r="AG26" s="3"/>
      <c r="AH26" s="3"/>
      <c r="AI26" s="3"/>
      <c r="AJ26" s="3"/>
      <c r="AK26" s="5" t="s">
        <v>4</v>
      </c>
      <c r="AL26" s="3"/>
      <c r="AM26" s="3" t="s">
        <v>14</v>
      </c>
      <c r="AN26" s="5" t="s">
        <v>4</v>
      </c>
      <c r="AO26" s="3"/>
      <c r="AP26" s="3"/>
      <c r="AQ26" s="8"/>
      <c r="AR26" s="8"/>
      <c r="AS26" s="6"/>
      <c r="AT26" s="6"/>
      <c r="AU26" s="6"/>
      <c r="AV26" s="7"/>
      <c r="AW26" s="7"/>
      <c r="AX26" s="7"/>
      <c r="AY26" s="7"/>
      <c r="AZ26" s="7"/>
      <c r="BA26" s="8" t="s">
        <v>64</v>
      </c>
      <c r="BB26" s="8" t="s">
        <v>3</v>
      </c>
      <c r="BC26" s="9"/>
      <c r="BD26" s="9"/>
      <c r="BE26" s="9"/>
      <c r="BF26" s="9"/>
    </row>
    <row r="27" spans="1:58">
      <c r="A27" s="5">
        <v>1983</v>
      </c>
      <c r="B27" s="3" t="s">
        <v>6</v>
      </c>
      <c r="C27" s="3" t="s">
        <v>15</v>
      </c>
      <c r="D27" s="5">
        <v>1949</v>
      </c>
      <c r="AK27" s="5">
        <v>1956</v>
      </c>
      <c r="AL27" s="3" t="s">
        <v>16</v>
      </c>
      <c r="AM27" s="3" t="s">
        <v>17</v>
      </c>
      <c r="AN27" s="5">
        <v>1948</v>
      </c>
      <c r="AQ27" s="8"/>
      <c r="AR27" s="8"/>
    </row>
    <row r="28" spans="1:58" ht="15" customHeight="1">
      <c r="C28" s="15"/>
      <c r="AB28" s="16"/>
      <c r="AM28" s="10"/>
      <c r="AO28" s="16"/>
      <c r="AQ28" s="8"/>
      <c r="AR28" s="8"/>
    </row>
    <row r="29" spans="1:58">
      <c r="B29" s="2"/>
      <c r="C29" s="17"/>
      <c r="K29" s="18">
        <v>4</v>
      </c>
      <c r="L29" s="19"/>
      <c r="M29" s="12"/>
      <c r="N29" s="13"/>
      <c r="O29" s="13"/>
      <c r="P29" s="19"/>
      <c r="Q29" s="13"/>
      <c r="R29" s="14"/>
      <c r="S29" s="13"/>
      <c r="T29" s="13"/>
      <c r="U29" s="14"/>
      <c r="V29" s="13"/>
      <c r="W29" s="13"/>
      <c r="X29" s="13"/>
      <c r="Y29" s="14"/>
      <c r="Z29" s="13"/>
      <c r="AA29" s="13"/>
      <c r="AB29" s="13"/>
      <c r="AC29" s="18">
        <v>3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0">
        <v>2</v>
      </c>
      <c r="AP29" s="13"/>
      <c r="AQ29" s="20"/>
      <c r="AR29" s="20"/>
      <c r="AS29" s="21"/>
      <c r="AT29" s="21"/>
      <c r="AU29" s="21"/>
      <c r="AV29" s="22"/>
      <c r="AW29" s="22"/>
      <c r="AX29" s="23">
        <v>1</v>
      </c>
    </row>
    <row r="30" spans="1:58">
      <c r="B30" s="116" t="s">
        <v>1</v>
      </c>
      <c r="C30" s="116"/>
      <c r="I30" s="5">
        <v>1919</v>
      </c>
      <c r="J30" s="3" t="s">
        <v>1</v>
      </c>
      <c r="K30" s="3" t="s">
        <v>1</v>
      </c>
      <c r="L30" s="5">
        <v>1917</v>
      </c>
      <c r="N30" s="3"/>
      <c r="P30" s="9"/>
      <c r="Q30" s="4"/>
      <c r="R30" s="4"/>
      <c r="U30" s="4"/>
      <c r="X30" s="4"/>
      <c r="Y30" s="4"/>
      <c r="AA30" s="5">
        <v>1913</v>
      </c>
      <c r="AB30" s="3" t="s">
        <v>1</v>
      </c>
      <c r="AC30" s="3" t="s">
        <v>1</v>
      </c>
      <c r="AD30" s="5">
        <v>1910</v>
      </c>
      <c r="AM30" s="5">
        <v>1910</v>
      </c>
      <c r="AN30" s="3" t="s">
        <v>1</v>
      </c>
      <c r="AO30" s="3" t="s">
        <v>1</v>
      </c>
      <c r="AP30" s="5">
        <v>1906</v>
      </c>
      <c r="AQ30" s="8"/>
      <c r="AR30" s="8"/>
      <c r="AV30" s="5">
        <v>1902</v>
      </c>
      <c r="AW30" s="3" t="s">
        <v>7</v>
      </c>
      <c r="AX30" s="3" t="s">
        <v>1</v>
      </c>
      <c r="AY30" s="5">
        <v>1899</v>
      </c>
    </row>
    <row r="31" spans="1:58">
      <c r="B31" s="116" t="s">
        <v>19</v>
      </c>
      <c r="C31" s="116"/>
      <c r="I31" s="5" t="s">
        <v>4</v>
      </c>
      <c r="J31" s="3" t="s">
        <v>20</v>
      </c>
      <c r="L31" s="5" t="s">
        <v>4</v>
      </c>
      <c r="N31" s="3"/>
      <c r="P31" s="9"/>
      <c r="R31" s="4"/>
      <c r="T31" s="3"/>
      <c r="U31" s="4"/>
      <c r="Y31" s="4"/>
      <c r="AA31" s="5" t="s">
        <v>4</v>
      </c>
      <c r="AB31" s="3" t="s">
        <v>7</v>
      </c>
      <c r="AD31" s="5" t="s">
        <v>4</v>
      </c>
      <c r="AF31" s="4"/>
      <c r="AM31" s="5" t="s">
        <v>4</v>
      </c>
      <c r="AN31" s="3" t="s">
        <v>21</v>
      </c>
      <c r="AO31" s="3" t="s">
        <v>22</v>
      </c>
      <c r="AP31" s="5" t="s">
        <v>4</v>
      </c>
      <c r="AQ31" s="8"/>
      <c r="AR31" s="8"/>
      <c r="AV31" s="5" t="s">
        <v>4</v>
      </c>
      <c r="AW31" s="3"/>
      <c r="AX31" s="3" t="s">
        <v>23</v>
      </c>
      <c r="AY31" s="5" t="s">
        <v>4</v>
      </c>
      <c r="BA31" s="8" t="s">
        <v>93</v>
      </c>
      <c r="BB31" s="8" t="s">
        <v>3</v>
      </c>
    </row>
    <row r="32" spans="1:58">
      <c r="B32" s="116" t="s">
        <v>24</v>
      </c>
      <c r="C32" s="116"/>
      <c r="I32" s="5">
        <v>2000</v>
      </c>
      <c r="J32" s="3" t="s">
        <v>25</v>
      </c>
      <c r="K32" s="3" t="s">
        <v>26</v>
      </c>
      <c r="L32" s="5">
        <v>2004</v>
      </c>
      <c r="N32" s="3"/>
      <c r="P32" s="25"/>
      <c r="R32" s="4"/>
      <c r="T32" s="3"/>
      <c r="U32" s="4"/>
      <c r="Y32" s="4"/>
      <c r="AA32" s="5">
        <v>1995</v>
      </c>
      <c r="AB32" s="3" t="s">
        <v>27</v>
      </c>
      <c r="AC32" s="3" t="s">
        <v>28</v>
      </c>
      <c r="AD32" s="5">
        <v>1997</v>
      </c>
      <c r="AM32" s="5">
        <v>1996</v>
      </c>
      <c r="AN32" s="3" t="s">
        <v>29</v>
      </c>
      <c r="AO32" s="3" t="s">
        <v>30</v>
      </c>
      <c r="AP32" s="5">
        <v>1995</v>
      </c>
      <c r="AQ32" s="8"/>
      <c r="AR32" s="8"/>
      <c r="AS32" s="26"/>
      <c r="AT32" s="26"/>
      <c r="AU32" s="26"/>
      <c r="AV32" s="5">
        <v>1944</v>
      </c>
      <c r="AW32" s="3" t="s">
        <v>31</v>
      </c>
      <c r="AX32" s="3" t="s">
        <v>32</v>
      </c>
      <c r="AY32" s="5">
        <v>1940</v>
      </c>
      <c r="AZ32" s="27"/>
      <c r="BA32" s="25"/>
      <c r="BB32" s="25"/>
      <c r="BC32" s="25"/>
      <c r="BD32" s="25"/>
      <c r="BE32" s="25"/>
      <c r="BF32" s="25"/>
    </row>
    <row r="33" spans="1:58" s="25" customFormat="1">
      <c r="A33" s="1"/>
      <c r="B33" s="116" t="s">
        <v>33</v>
      </c>
      <c r="C33" s="116"/>
      <c r="D33" s="2"/>
      <c r="E33" s="2"/>
      <c r="F33" s="2"/>
      <c r="G33" s="2"/>
      <c r="H33" s="2"/>
      <c r="I33" s="3"/>
      <c r="J33" s="3"/>
      <c r="K33" s="10"/>
      <c r="L33" s="3"/>
      <c r="M33" s="2"/>
      <c r="N33" s="3"/>
      <c r="O33" s="3"/>
      <c r="Q33" s="3"/>
      <c r="R33" s="4"/>
      <c r="S33" s="3"/>
      <c r="T33" s="3"/>
      <c r="U33" s="4"/>
      <c r="V33" s="3"/>
      <c r="W33" s="3"/>
      <c r="X33" s="3"/>
      <c r="Y33" s="4"/>
      <c r="Z33" s="3"/>
      <c r="AA33" s="3"/>
      <c r="AB33" s="3"/>
      <c r="AC33" s="10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 t="s">
        <v>34</v>
      </c>
      <c r="AO33" s="28"/>
      <c r="AP33" s="3"/>
      <c r="AQ33" s="8"/>
      <c r="AR33" s="8"/>
      <c r="AS33" s="26"/>
      <c r="AT33" s="26"/>
      <c r="AU33" s="26"/>
      <c r="AV33" s="3"/>
      <c r="AW33" s="3"/>
      <c r="AX33" s="10"/>
      <c r="AY33" s="3"/>
      <c r="AZ33" s="27"/>
    </row>
    <row r="34" spans="1:58" s="25" customFormat="1" ht="15" customHeight="1">
      <c r="A34" s="1"/>
      <c r="B34" s="116" t="s">
        <v>35</v>
      </c>
      <c r="C34" s="116"/>
      <c r="D34" s="2"/>
      <c r="E34" s="2"/>
      <c r="F34" s="29"/>
      <c r="G34" s="12"/>
      <c r="H34" s="12"/>
      <c r="I34" s="29"/>
      <c r="J34" s="12"/>
      <c r="K34" s="13"/>
      <c r="L34" s="19"/>
      <c r="M34" s="29"/>
      <c r="N34" s="13"/>
      <c r="O34" s="30"/>
      <c r="P34" s="31"/>
      <c r="Q34" s="3"/>
      <c r="R34" s="4"/>
      <c r="S34" s="3"/>
      <c r="T34" s="3"/>
      <c r="U34" s="4"/>
      <c r="V34" s="18"/>
      <c r="W34" s="13"/>
      <c r="X34" s="13"/>
      <c r="Y34" s="14"/>
      <c r="Z34" s="13"/>
      <c r="AA34" s="13"/>
      <c r="AB34" s="14"/>
      <c r="AC34" s="18"/>
      <c r="AD34" s="13"/>
      <c r="AE34" s="13"/>
      <c r="AF34" s="13"/>
      <c r="AG34" s="30"/>
      <c r="AH34" s="10"/>
      <c r="AI34" s="3"/>
      <c r="AJ34" s="32"/>
      <c r="AK34" s="18"/>
      <c r="AL34" s="33"/>
      <c r="AM34" s="18"/>
      <c r="AN34" s="33"/>
      <c r="AO34" s="18"/>
      <c r="AP34" s="33"/>
      <c r="AQ34" s="18"/>
      <c r="AR34" s="33"/>
      <c r="AS34" s="10"/>
      <c r="AT34" s="6"/>
      <c r="AU34" s="6"/>
      <c r="AV34" s="3"/>
      <c r="AW34" s="18"/>
      <c r="AX34" s="13"/>
      <c r="AY34" s="10"/>
      <c r="AZ34" s="7"/>
      <c r="BA34" s="9"/>
      <c r="BB34" s="9"/>
      <c r="BC34" s="9"/>
      <c r="BD34" s="9"/>
      <c r="BE34" s="9"/>
      <c r="BF34" s="9"/>
    </row>
    <row r="35" spans="1:58">
      <c r="B35" s="116" t="s">
        <v>36</v>
      </c>
      <c r="C35" s="116"/>
      <c r="E35" s="116" t="s">
        <v>1</v>
      </c>
      <c r="F35" s="116"/>
      <c r="G35" s="3"/>
      <c r="H35" s="116" t="s">
        <v>1</v>
      </c>
      <c r="I35" s="116"/>
      <c r="J35" s="3"/>
      <c r="L35" s="116" t="s">
        <v>1</v>
      </c>
      <c r="M35" s="116"/>
      <c r="N35" s="3"/>
      <c r="O35" s="116" t="s">
        <v>1</v>
      </c>
      <c r="P35" s="116"/>
      <c r="R35" s="4"/>
      <c r="T35" s="3"/>
      <c r="U35" s="116" t="s">
        <v>1</v>
      </c>
      <c r="V35" s="116"/>
      <c r="Y35" s="4"/>
      <c r="AB35" s="116" t="s">
        <v>1</v>
      </c>
      <c r="AC35" s="116"/>
      <c r="AF35" s="4"/>
      <c r="AG35" s="116" t="s">
        <v>1</v>
      </c>
      <c r="AH35" s="116"/>
      <c r="AJ35" s="116" t="s">
        <v>1</v>
      </c>
      <c r="AK35" s="116"/>
      <c r="AL35" s="116" t="s">
        <v>1</v>
      </c>
      <c r="AM35" s="116"/>
      <c r="AN35" s="116" t="s">
        <v>1</v>
      </c>
      <c r="AO35" s="116"/>
      <c r="AP35" s="116" t="s">
        <v>1</v>
      </c>
      <c r="AQ35" s="116"/>
      <c r="AR35" s="116" t="s">
        <v>1</v>
      </c>
      <c r="AS35" s="116"/>
      <c r="AV35" s="116" t="s">
        <v>1</v>
      </c>
      <c r="AW35" s="116"/>
      <c r="AX35" s="116" t="s">
        <v>1</v>
      </c>
      <c r="AY35" s="116"/>
    </row>
    <row r="36" spans="1:58">
      <c r="B36" s="116" t="s">
        <v>38</v>
      </c>
      <c r="C36" s="116"/>
      <c r="E36" s="116" t="s">
        <v>39</v>
      </c>
      <c r="F36" s="116"/>
      <c r="G36" s="3"/>
      <c r="H36" s="116" t="s">
        <v>40</v>
      </c>
      <c r="I36" s="116"/>
      <c r="J36" s="3"/>
      <c r="L36" s="116" t="s">
        <v>41</v>
      </c>
      <c r="M36" s="116"/>
      <c r="N36" s="3"/>
      <c r="O36" s="116" t="s">
        <v>42</v>
      </c>
      <c r="P36" s="116"/>
      <c r="R36" s="4"/>
      <c r="T36" s="3"/>
      <c r="U36" s="116" t="s">
        <v>43</v>
      </c>
      <c r="V36" s="116"/>
      <c r="Y36" s="4"/>
      <c r="AB36" s="116" t="s">
        <v>44</v>
      </c>
      <c r="AC36" s="116"/>
      <c r="AF36" s="4"/>
      <c r="AG36" s="116" t="s">
        <v>45</v>
      </c>
      <c r="AH36" s="116"/>
      <c r="AJ36" s="116" t="s">
        <v>46</v>
      </c>
      <c r="AK36" s="116"/>
      <c r="AL36" s="116" t="s">
        <v>46</v>
      </c>
      <c r="AM36" s="116"/>
      <c r="AN36" s="116" t="s">
        <v>47</v>
      </c>
      <c r="AO36" s="116"/>
      <c r="AP36" s="116" t="s">
        <v>48</v>
      </c>
      <c r="AQ36" s="116"/>
      <c r="AR36" s="116" t="s">
        <v>49</v>
      </c>
      <c r="AS36" s="116"/>
      <c r="AV36" s="116" t="s">
        <v>50</v>
      </c>
      <c r="AW36" s="116"/>
      <c r="AX36" s="116" t="s">
        <v>51</v>
      </c>
      <c r="AY36" s="116"/>
      <c r="BA36" s="8" t="s">
        <v>304</v>
      </c>
      <c r="BB36" s="8" t="s">
        <v>3</v>
      </c>
    </row>
    <row r="37" spans="1:58">
      <c r="B37" s="116" t="s">
        <v>52</v>
      </c>
      <c r="C37" s="116"/>
      <c r="E37" s="116" t="s">
        <v>53</v>
      </c>
      <c r="F37" s="116"/>
      <c r="G37" s="3"/>
      <c r="H37" s="116" t="s">
        <v>54</v>
      </c>
      <c r="I37" s="116"/>
      <c r="J37" s="3"/>
      <c r="L37" s="116" t="s">
        <v>55</v>
      </c>
      <c r="M37" s="116"/>
      <c r="N37" s="3"/>
      <c r="O37" s="116" t="s">
        <v>56</v>
      </c>
      <c r="P37" s="116"/>
      <c r="R37" s="4"/>
      <c r="T37" s="3"/>
      <c r="U37" s="116" t="s">
        <v>57</v>
      </c>
      <c r="V37" s="116"/>
      <c r="Y37" s="4"/>
      <c r="AB37" s="116" t="s">
        <v>58</v>
      </c>
      <c r="AC37" s="116"/>
      <c r="AG37" s="116" t="s">
        <v>59</v>
      </c>
      <c r="AH37" s="116"/>
      <c r="AJ37" s="116" t="s">
        <v>60</v>
      </c>
      <c r="AK37" s="116"/>
      <c r="AL37" s="116" t="s">
        <v>61</v>
      </c>
      <c r="AM37" s="116"/>
      <c r="AN37" s="116" t="s">
        <v>10</v>
      </c>
      <c r="AO37" s="116"/>
      <c r="AP37" s="116" t="s">
        <v>43</v>
      </c>
      <c r="AQ37" s="116"/>
      <c r="AR37" s="116" t="s">
        <v>62</v>
      </c>
      <c r="AS37" s="116"/>
      <c r="AV37" s="116" t="s">
        <v>63</v>
      </c>
      <c r="AW37" s="116"/>
      <c r="AX37" s="116" t="s">
        <v>15</v>
      </c>
      <c r="AY37" s="116"/>
    </row>
    <row r="38" spans="1:58">
      <c r="E38" s="9"/>
      <c r="F38" s="31"/>
      <c r="G38" s="3"/>
      <c r="H38" s="3"/>
      <c r="I38" s="10"/>
      <c r="J38" s="3"/>
      <c r="M38" s="10"/>
      <c r="N38" s="3"/>
      <c r="O38" s="9"/>
      <c r="P38" s="31"/>
      <c r="R38" s="34"/>
      <c r="S38" s="16"/>
      <c r="T38" s="16"/>
      <c r="V38" s="10"/>
      <c r="W38" s="16"/>
      <c r="X38" s="16"/>
      <c r="AC38" s="10"/>
      <c r="AH38" s="10"/>
      <c r="AJ38" s="9"/>
      <c r="AK38" s="31"/>
      <c r="AL38" s="9"/>
      <c r="AM38" s="31"/>
      <c r="AP38" s="9"/>
      <c r="AQ38" s="31"/>
      <c r="AR38" s="9"/>
      <c r="AS38" s="31"/>
      <c r="AU38" s="3"/>
      <c r="AV38" s="3"/>
      <c r="AW38" s="10"/>
      <c r="AX38" s="3"/>
    </row>
    <row r="39" spans="1:58" ht="15" customHeight="1">
      <c r="E39" s="6"/>
      <c r="F39" s="10"/>
      <c r="G39" s="3"/>
      <c r="H39" s="18"/>
      <c r="I39" s="13"/>
      <c r="J39" s="10"/>
      <c r="L39" s="18"/>
      <c r="M39" s="13"/>
      <c r="N39" s="10"/>
      <c r="O39" s="6"/>
      <c r="P39" s="10"/>
      <c r="R39" s="23"/>
      <c r="T39" s="3"/>
      <c r="U39" s="35"/>
      <c r="V39" s="13"/>
      <c r="Y39" s="10"/>
      <c r="AB39" s="18"/>
      <c r="AC39" s="13"/>
      <c r="AD39" s="10"/>
      <c r="AG39" s="18"/>
      <c r="AH39" s="13"/>
      <c r="AI39" s="10"/>
      <c r="AJ39" s="6"/>
      <c r="AK39" s="10"/>
      <c r="AL39" s="6"/>
      <c r="AM39" s="10"/>
      <c r="AP39" s="6"/>
      <c r="AQ39" s="10"/>
      <c r="AS39" s="10"/>
      <c r="AU39" s="3"/>
      <c r="AV39" s="18"/>
      <c r="AW39" s="13"/>
      <c r="AX39" s="10"/>
    </row>
    <row r="40" spans="1:58">
      <c r="E40" s="116" t="s">
        <v>1</v>
      </c>
      <c r="F40" s="116"/>
      <c r="G40" s="116" t="s">
        <v>1</v>
      </c>
      <c r="H40" s="116"/>
      <c r="I40" s="116" t="s">
        <v>1</v>
      </c>
      <c r="J40" s="116"/>
      <c r="K40" s="116" t="s">
        <v>1</v>
      </c>
      <c r="L40" s="116"/>
      <c r="M40" s="116" t="s">
        <v>1</v>
      </c>
      <c r="N40" s="116"/>
      <c r="O40" s="116" t="s">
        <v>1</v>
      </c>
      <c r="P40" s="116"/>
      <c r="Q40" s="116" t="s">
        <v>1</v>
      </c>
      <c r="R40" s="116"/>
      <c r="T40" s="116" t="s">
        <v>1</v>
      </c>
      <c r="U40" s="116"/>
      <c r="X40" s="116" t="s">
        <v>1</v>
      </c>
      <c r="Y40" s="116"/>
      <c r="AA40" s="116" t="s">
        <v>1</v>
      </c>
      <c r="AB40" s="116"/>
      <c r="AC40" s="116" t="s">
        <v>1</v>
      </c>
      <c r="AD40" s="116"/>
      <c r="AF40" s="116" t="s">
        <v>1</v>
      </c>
      <c r="AG40" s="116"/>
      <c r="AH40" s="116" t="s">
        <v>1</v>
      </c>
      <c r="AI40" s="116"/>
      <c r="AJ40" s="116" t="s">
        <v>1</v>
      </c>
      <c r="AK40" s="116"/>
      <c r="AL40" s="116" t="s">
        <v>1</v>
      </c>
      <c r="AM40" s="116"/>
      <c r="AP40" s="116" t="s">
        <v>1</v>
      </c>
      <c r="AQ40" s="116"/>
      <c r="AR40" s="116" t="s">
        <v>1</v>
      </c>
      <c r="AS40" s="116"/>
      <c r="AT40" s="26"/>
      <c r="AU40" s="116" t="s">
        <v>1</v>
      </c>
      <c r="AV40" s="116"/>
      <c r="AW40" s="116" t="s">
        <v>1</v>
      </c>
      <c r="AX40" s="116"/>
      <c r="AY40" s="27"/>
      <c r="AZ40" s="27"/>
      <c r="BA40" s="25"/>
      <c r="BB40" s="25"/>
      <c r="BC40" s="25"/>
      <c r="BD40" s="25"/>
      <c r="BE40" s="25"/>
      <c r="BF40" s="25"/>
    </row>
    <row r="41" spans="1:58">
      <c r="E41" s="116" t="s">
        <v>65</v>
      </c>
      <c r="F41" s="116"/>
      <c r="G41" s="116" t="s">
        <v>66</v>
      </c>
      <c r="H41" s="116"/>
      <c r="I41" s="116" t="s">
        <v>67</v>
      </c>
      <c r="J41" s="116"/>
      <c r="K41" s="116" t="s">
        <v>68</v>
      </c>
      <c r="L41" s="116"/>
      <c r="M41" s="116" t="s">
        <v>68</v>
      </c>
      <c r="N41" s="116"/>
      <c r="O41" s="116" t="s">
        <v>69</v>
      </c>
      <c r="P41" s="116"/>
      <c r="Q41" s="116" t="s">
        <v>70</v>
      </c>
      <c r="R41" s="116"/>
      <c r="T41" s="116" t="s">
        <v>70</v>
      </c>
      <c r="U41" s="116"/>
      <c r="X41" s="116" t="s">
        <v>70</v>
      </c>
      <c r="Y41" s="116"/>
      <c r="AA41" s="116" t="s">
        <v>71</v>
      </c>
      <c r="AB41" s="116"/>
      <c r="AC41" s="116" t="s">
        <v>72</v>
      </c>
      <c r="AD41" s="116"/>
      <c r="AF41" s="116" t="s">
        <v>73</v>
      </c>
      <c r="AG41" s="116"/>
      <c r="AH41" s="116" t="s">
        <v>73</v>
      </c>
      <c r="AI41" s="116"/>
      <c r="AJ41" s="116" t="s">
        <v>74</v>
      </c>
      <c r="AK41" s="116"/>
      <c r="AL41" s="116" t="s">
        <v>74</v>
      </c>
      <c r="AM41" s="116"/>
      <c r="AP41" s="116" t="s">
        <v>74</v>
      </c>
      <c r="AQ41" s="116"/>
      <c r="AR41" s="116" t="s">
        <v>75</v>
      </c>
      <c r="AS41" s="116"/>
      <c r="AT41" s="26"/>
      <c r="AU41" s="116" t="s">
        <v>76</v>
      </c>
      <c r="AV41" s="116"/>
      <c r="AW41" s="116" t="s">
        <v>76</v>
      </c>
      <c r="AX41" s="116"/>
      <c r="AY41" s="27"/>
      <c r="AZ41" s="27"/>
      <c r="BA41" s="8" t="s">
        <v>307</v>
      </c>
      <c r="BB41" s="8" t="s">
        <v>3</v>
      </c>
      <c r="BC41" s="25"/>
      <c r="BD41" s="25"/>
      <c r="BE41" s="25"/>
      <c r="BF41" s="25"/>
    </row>
    <row r="42" spans="1:58">
      <c r="E42" s="116" t="s">
        <v>77</v>
      </c>
      <c r="F42" s="116"/>
      <c r="G42" s="116" t="s">
        <v>78</v>
      </c>
      <c r="H42" s="116"/>
      <c r="I42" s="116" t="s">
        <v>79</v>
      </c>
      <c r="J42" s="116"/>
      <c r="K42" s="116" t="s">
        <v>80</v>
      </c>
      <c r="L42" s="116"/>
      <c r="M42" s="116" t="s">
        <v>81</v>
      </c>
      <c r="N42" s="116"/>
      <c r="O42" s="116" t="s">
        <v>63</v>
      </c>
      <c r="P42" s="116"/>
      <c r="Q42" s="116" t="s">
        <v>82</v>
      </c>
      <c r="R42" s="116"/>
      <c r="T42" s="116" t="s">
        <v>83</v>
      </c>
      <c r="U42" s="116"/>
      <c r="X42" s="116" t="s">
        <v>84</v>
      </c>
      <c r="Y42" s="116"/>
      <c r="AA42" s="116" t="s">
        <v>85</v>
      </c>
      <c r="AB42" s="116"/>
      <c r="AC42" s="116" t="s">
        <v>86</v>
      </c>
      <c r="AD42" s="116"/>
      <c r="AF42" s="116" t="s">
        <v>87</v>
      </c>
      <c r="AG42" s="116"/>
      <c r="AH42" s="116" t="s">
        <v>88</v>
      </c>
      <c r="AI42" s="116"/>
      <c r="AJ42" s="116" t="s">
        <v>13</v>
      </c>
      <c r="AK42" s="116"/>
      <c r="AL42" s="116" t="s">
        <v>89</v>
      </c>
      <c r="AM42" s="116"/>
      <c r="AP42" s="116" t="s">
        <v>90</v>
      </c>
      <c r="AQ42" s="116"/>
      <c r="AR42" s="116" t="s">
        <v>91</v>
      </c>
      <c r="AS42" s="116"/>
      <c r="AU42" s="116" t="s">
        <v>92</v>
      </c>
      <c r="AV42" s="116"/>
      <c r="AW42" s="116" t="s">
        <v>87</v>
      </c>
      <c r="AX42" s="116"/>
    </row>
    <row r="43" spans="1:58" ht="15" customHeight="1">
      <c r="Q43" s="9"/>
      <c r="R43" s="31"/>
      <c r="T43" s="3"/>
      <c r="U43" s="10"/>
      <c r="Y43" s="10"/>
      <c r="AA43" s="9"/>
      <c r="AB43" s="31"/>
      <c r="AG43" s="10"/>
      <c r="AS43" s="36"/>
      <c r="AT43" s="3"/>
      <c r="AU43" s="3"/>
      <c r="AV43" s="10"/>
      <c r="AW43" s="3"/>
    </row>
    <row r="44" spans="1:58" ht="15" customHeight="1">
      <c r="Q44" s="6"/>
      <c r="R44" s="10"/>
      <c r="T44" s="18"/>
      <c r="U44" s="13"/>
      <c r="V44" s="10"/>
      <c r="X44" s="18"/>
      <c r="Y44" s="13"/>
      <c r="Z44" s="10"/>
      <c r="AA44" s="6"/>
      <c r="AB44" s="10"/>
      <c r="AF44" s="18"/>
      <c r="AG44" s="13"/>
      <c r="AH44" s="10"/>
      <c r="AS44" s="10"/>
      <c r="AT44" s="3"/>
      <c r="AU44" s="18"/>
      <c r="AV44" s="13"/>
      <c r="AW44" s="10"/>
    </row>
    <row r="45" spans="1:58">
      <c r="Q45" s="116" t="s">
        <v>1</v>
      </c>
      <c r="R45" s="116"/>
      <c r="S45" s="116" t="s">
        <v>1</v>
      </c>
      <c r="T45" s="116"/>
      <c r="U45" s="116" t="s">
        <v>1</v>
      </c>
      <c r="V45" s="116"/>
      <c r="W45" s="116" t="s">
        <v>1</v>
      </c>
      <c r="X45" s="116"/>
      <c r="Y45" s="116" t="s">
        <v>1</v>
      </c>
      <c r="Z45" s="116"/>
      <c r="AA45" s="116" t="s">
        <v>1</v>
      </c>
      <c r="AB45" s="116"/>
      <c r="AE45" s="116" t="s">
        <v>1</v>
      </c>
      <c r="AF45" s="116"/>
      <c r="AG45" s="116" t="s">
        <v>1</v>
      </c>
      <c r="AH45" s="116"/>
      <c r="AR45" s="116" t="s">
        <v>1</v>
      </c>
      <c r="AS45" s="116"/>
      <c r="AT45" s="116" t="s">
        <v>1</v>
      </c>
      <c r="AU45" s="116"/>
      <c r="AV45" s="116" t="s">
        <v>1</v>
      </c>
      <c r="AW45" s="116"/>
    </row>
    <row r="46" spans="1:58">
      <c r="Q46" s="116" t="s">
        <v>94</v>
      </c>
      <c r="R46" s="116"/>
      <c r="S46" s="116" t="s">
        <v>95</v>
      </c>
      <c r="T46" s="116"/>
      <c r="U46" s="116" t="s">
        <v>96</v>
      </c>
      <c r="V46" s="116"/>
      <c r="W46" s="116" t="s">
        <v>97</v>
      </c>
      <c r="X46" s="116"/>
      <c r="Y46" s="116" t="s">
        <v>97</v>
      </c>
      <c r="Z46" s="116"/>
      <c r="AA46" s="116" t="s">
        <v>98</v>
      </c>
      <c r="AB46" s="116"/>
      <c r="AE46" s="116" t="s">
        <v>25</v>
      </c>
      <c r="AF46" s="116"/>
      <c r="AG46" s="116" t="s">
        <v>99</v>
      </c>
      <c r="AH46" s="116"/>
      <c r="AR46" s="116" t="s">
        <v>100</v>
      </c>
      <c r="AS46" s="116"/>
      <c r="AT46" s="116" t="s">
        <v>101</v>
      </c>
      <c r="AU46" s="116"/>
      <c r="AV46" s="116" t="s">
        <v>102</v>
      </c>
      <c r="AW46" s="116"/>
      <c r="BA46" s="8" t="s">
        <v>311</v>
      </c>
      <c r="BB46" s="8" t="s">
        <v>3</v>
      </c>
    </row>
    <row r="47" spans="1:58">
      <c r="Q47" s="116" t="s">
        <v>103</v>
      </c>
      <c r="R47" s="116"/>
      <c r="S47" s="116" t="s">
        <v>104</v>
      </c>
      <c r="T47" s="116"/>
      <c r="U47" s="116" t="s">
        <v>104</v>
      </c>
      <c r="V47" s="116"/>
      <c r="W47" s="116" t="s">
        <v>105</v>
      </c>
      <c r="X47" s="116"/>
      <c r="Y47" s="116" t="s">
        <v>106</v>
      </c>
      <c r="Z47" s="116"/>
      <c r="AA47" s="116" t="s">
        <v>107</v>
      </c>
      <c r="AB47" s="116"/>
      <c r="AE47" s="116" t="s">
        <v>108</v>
      </c>
      <c r="AF47" s="116"/>
      <c r="AG47" s="116" t="s">
        <v>66</v>
      </c>
      <c r="AH47" s="116"/>
      <c r="AR47" s="116" t="s">
        <v>109</v>
      </c>
      <c r="AS47" s="116"/>
    </row>
  </sheetData>
  <mergeCells count="138">
    <mergeCell ref="B30:C30"/>
    <mergeCell ref="B31:C31"/>
    <mergeCell ref="B32:C32"/>
    <mergeCell ref="B33:C33"/>
    <mergeCell ref="B34:C34"/>
    <mergeCell ref="B35:C35"/>
    <mergeCell ref="AV35:AW35"/>
    <mergeCell ref="AX35:AY35"/>
    <mergeCell ref="B36:C36"/>
    <mergeCell ref="E36:F36"/>
    <mergeCell ref="H36:I36"/>
    <mergeCell ref="L36:M36"/>
    <mergeCell ref="O36:P36"/>
    <mergeCell ref="U36:V36"/>
    <mergeCell ref="AB36:AC36"/>
    <mergeCell ref="AG36:AH36"/>
    <mergeCell ref="AG35:AH35"/>
    <mergeCell ref="AJ35:AK35"/>
    <mergeCell ref="AL35:AM35"/>
    <mergeCell ref="AN35:AO35"/>
    <mergeCell ref="AP35:AQ35"/>
    <mergeCell ref="AR35:AS35"/>
    <mergeCell ref="E35:F35"/>
    <mergeCell ref="H35:I35"/>
    <mergeCell ref="L35:M35"/>
    <mergeCell ref="O35:P35"/>
    <mergeCell ref="U35:V35"/>
    <mergeCell ref="AB35:AC35"/>
    <mergeCell ref="AX37:AY37"/>
    <mergeCell ref="AX36:AY36"/>
    <mergeCell ref="B37:C37"/>
    <mergeCell ref="E37:F37"/>
    <mergeCell ref="H37:I37"/>
    <mergeCell ref="L37:M37"/>
    <mergeCell ref="O37:P37"/>
    <mergeCell ref="U37:V37"/>
    <mergeCell ref="AB37:AC37"/>
    <mergeCell ref="AG37:AH37"/>
    <mergeCell ref="AJ37:AK37"/>
    <mergeCell ref="AJ36:AK36"/>
    <mergeCell ref="AL36:AM36"/>
    <mergeCell ref="AN36:AO36"/>
    <mergeCell ref="AP36:AQ36"/>
    <mergeCell ref="AR36:AS36"/>
    <mergeCell ref="AV36:AW36"/>
    <mergeCell ref="I40:J40"/>
    <mergeCell ref="K40:L40"/>
    <mergeCell ref="M40:N40"/>
    <mergeCell ref="O40:P40"/>
    <mergeCell ref="AL37:AM37"/>
    <mergeCell ref="AN37:AO37"/>
    <mergeCell ref="AP37:AQ37"/>
    <mergeCell ref="AR37:AS37"/>
    <mergeCell ref="AV37:AW37"/>
    <mergeCell ref="AW40:AX40"/>
    <mergeCell ref="AH40:AI40"/>
    <mergeCell ref="AJ40:AK40"/>
    <mergeCell ref="AL40:AM40"/>
    <mergeCell ref="AP40:AQ40"/>
    <mergeCell ref="AR40:AS40"/>
    <mergeCell ref="AU40:AV40"/>
    <mergeCell ref="Q40:R40"/>
    <mergeCell ref="T40:U40"/>
    <mergeCell ref="X40:Y40"/>
    <mergeCell ref="AA40:AB40"/>
    <mergeCell ref="AC40:AD40"/>
    <mergeCell ref="AF40:AG40"/>
    <mergeCell ref="E41:F41"/>
    <mergeCell ref="G41:H41"/>
    <mergeCell ref="I41:J41"/>
    <mergeCell ref="K41:L41"/>
    <mergeCell ref="M41:N41"/>
    <mergeCell ref="O41:P41"/>
    <mergeCell ref="Q41:R41"/>
    <mergeCell ref="T41:U41"/>
    <mergeCell ref="X41:Y41"/>
    <mergeCell ref="E40:F40"/>
    <mergeCell ref="G40:H40"/>
    <mergeCell ref="AP41:AQ41"/>
    <mergeCell ref="AR41:AS41"/>
    <mergeCell ref="AU41:AV41"/>
    <mergeCell ref="AW41:AX41"/>
    <mergeCell ref="E42:F42"/>
    <mergeCell ref="G42:H42"/>
    <mergeCell ref="I42:J42"/>
    <mergeCell ref="K42:L42"/>
    <mergeCell ref="M42:N42"/>
    <mergeCell ref="O42:P42"/>
    <mergeCell ref="AA41:AB41"/>
    <mergeCell ref="AC41:AD41"/>
    <mergeCell ref="AF41:AG41"/>
    <mergeCell ref="AH41:AI41"/>
    <mergeCell ref="AJ41:AK41"/>
    <mergeCell ref="AL41:AM41"/>
    <mergeCell ref="AW42:AX42"/>
    <mergeCell ref="AH42:AI42"/>
    <mergeCell ref="AJ42:AK42"/>
    <mergeCell ref="AL42:AM42"/>
    <mergeCell ref="AP42:AQ42"/>
    <mergeCell ref="AR42:AS42"/>
    <mergeCell ref="AU42:AV42"/>
    <mergeCell ref="Q42:R42"/>
    <mergeCell ref="T42:U42"/>
    <mergeCell ref="X42:Y42"/>
    <mergeCell ref="AA42:AB42"/>
    <mergeCell ref="AC42:AD42"/>
    <mergeCell ref="AF42:AG42"/>
    <mergeCell ref="AT45:AU45"/>
    <mergeCell ref="AV45:AW45"/>
    <mergeCell ref="Q45:R45"/>
    <mergeCell ref="S45:T45"/>
    <mergeCell ref="U45:V45"/>
    <mergeCell ref="W45:X45"/>
    <mergeCell ref="Y45:Z45"/>
    <mergeCell ref="AA45:AB45"/>
    <mergeCell ref="AE45:AF45"/>
    <mergeCell ref="AG45:AH45"/>
    <mergeCell ref="AR45:AS45"/>
    <mergeCell ref="AR47:AS47"/>
    <mergeCell ref="AR46:AS46"/>
    <mergeCell ref="AT46:AU46"/>
    <mergeCell ref="AV46:AW46"/>
    <mergeCell ref="Q47:R47"/>
    <mergeCell ref="S47:T47"/>
    <mergeCell ref="U47:V47"/>
    <mergeCell ref="W47:X47"/>
    <mergeCell ref="Y47:Z47"/>
    <mergeCell ref="AA47:AB47"/>
    <mergeCell ref="AE47:AF47"/>
    <mergeCell ref="Q46:R46"/>
    <mergeCell ref="S46:T46"/>
    <mergeCell ref="U46:V46"/>
    <mergeCell ref="W46:X46"/>
    <mergeCell ref="Y46:Z46"/>
    <mergeCell ref="AA46:AB46"/>
    <mergeCell ref="AE46:AF46"/>
    <mergeCell ref="AG46:AH46"/>
    <mergeCell ref="AG47:AH47"/>
  </mergeCells>
  <phoneticPr fontId="3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6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BQ30"/>
  <sheetViews>
    <sheetView showGridLines="0" zoomScale="70" zoomScaleNormal="70" workbookViewId="0">
      <selection activeCell="AS12" sqref="AS12"/>
    </sheetView>
  </sheetViews>
  <sheetFormatPr defaultColWidth="4" defaultRowHeight="22.2"/>
  <cols>
    <col min="1" max="3" width="4" style="1"/>
    <col min="4" max="6" width="4" style="2"/>
    <col min="7" max="7" width="4" style="4"/>
    <col min="8" max="12" width="4" style="3"/>
    <col min="13" max="13" width="4.44140625" style="4" bestFit="1" customWidth="1"/>
    <col min="14" max="14" width="4" style="3"/>
    <col min="15" max="15" width="4.109375" style="3" customWidth="1"/>
    <col min="16" max="16" width="4.44140625" style="3" bestFit="1" customWidth="1"/>
    <col min="17" max="17" width="4" style="3"/>
    <col min="18" max="18" width="4.77734375" style="3" customWidth="1"/>
    <col min="19" max="19" width="3.77734375" style="3" customWidth="1"/>
    <col min="20" max="29" width="4" style="3"/>
    <col min="30" max="30" width="4.44140625" style="3" bestFit="1" customWidth="1"/>
    <col min="31" max="32" width="4" style="3"/>
    <col min="33" max="33" width="4.44140625" style="3" bestFit="1" customWidth="1"/>
    <col min="34" max="35" width="4" style="3"/>
    <col min="36" max="37" width="4" style="9"/>
    <col min="38" max="41" width="4" style="49"/>
    <col min="42" max="16384" width="4" style="9"/>
  </cols>
  <sheetData>
    <row r="1" spans="1:69">
      <c r="A1" s="9"/>
      <c r="B1" s="3"/>
      <c r="C1" s="3"/>
      <c r="D1" s="3"/>
      <c r="E1" s="3"/>
      <c r="F1" s="3"/>
      <c r="G1" s="3"/>
      <c r="M1" s="3"/>
      <c r="S1" s="6"/>
      <c r="T1" s="6"/>
      <c r="U1" s="6"/>
      <c r="V1" s="1"/>
      <c r="W1" s="1"/>
      <c r="X1" s="1"/>
      <c r="Y1" s="2"/>
      <c r="Z1" s="2"/>
      <c r="AA1" s="4"/>
      <c r="AE1" s="4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6"/>
      <c r="BC1" s="6"/>
      <c r="BD1" s="6"/>
      <c r="BE1" s="6"/>
      <c r="BF1" s="6"/>
      <c r="BG1" s="6"/>
      <c r="BH1" s="7"/>
      <c r="BI1" s="7"/>
      <c r="BJ1" s="7"/>
      <c r="BK1" s="7"/>
      <c r="BL1" s="7"/>
      <c r="BM1" s="7"/>
      <c r="BN1" s="7"/>
      <c r="BO1" s="7"/>
      <c r="BP1" s="7"/>
      <c r="BQ1" s="7"/>
    </row>
    <row r="2" spans="1:69">
      <c r="A2" s="9"/>
      <c r="B2" s="3"/>
      <c r="C2" s="3"/>
      <c r="D2" s="3"/>
      <c r="E2" s="3"/>
      <c r="F2" s="3"/>
      <c r="G2" s="3"/>
      <c r="M2" s="3"/>
      <c r="S2" s="6"/>
      <c r="T2" s="6"/>
      <c r="U2" s="6"/>
      <c r="V2" s="1"/>
      <c r="W2" s="1"/>
      <c r="X2" s="1"/>
      <c r="Y2" s="2"/>
      <c r="Z2" s="2"/>
      <c r="AA2" s="4"/>
      <c r="AE2" s="4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6"/>
      <c r="BC2" s="6"/>
      <c r="BD2" s="6"/>
      <c r="BE2" s="6"/>
      <c r="BF2" s="6"/>
      <c r="BG2" s="6"/>
      <c r="BH2" s="7"/>
      <c r="BI2" s="7"/>
      <c r="BJ2" s="7"/>
      <c r="BK2" s="7"/>
      <c r="BL2" s="7"/>
      <c r="BM2" s="7"/>
      <c r="BN2" s="7"/>
      <c r="BO2" s="7"/>
      <c r="BP2" s="7"/>
      <c r="BQ2" s="7"/>
    </row>
    <row r="3" spans="1:69">
      <c r="A3" s="9"/>
      <c r="B3" s="3"/>
      <c r="C3" s="3"/>
      <c r="D3" s="3"/>
      <c r="E3" s="3"/>
      <c r="F3" s="3"/>
      <c r="G3" s="3"/>
      <c r="M3" s="3"/>
      <c r="S3" s="6"/>
      <c r="T3" s="6"/>
      <c r="U3" s="6"/>
      <c r="V3" s="1"/>
      <c r="W3" s="1"/>
      <c r="X3" s="1"/>
      <c r="Y3" s="2"/>
      <c r="Z3" s="2"/>
      <c r="AA3" s="4"/>
      <c r="AE3" s="4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6"/>
      <c r="BC3" s="6"/>
      <c r="BD3" s="6"/>
      <c r="BE3" s="6"/>
      <c r="BF3" s="6"/>
      <c r="BG3" s="6"/>
      <c r="BH3" s="7"/>
      <c r="BI3" s="7"/>
      <c r="BJ3" s="7"/>
      <c r="BK3" s="7"/>
      <c r="BL3" s="7"/>
      <c r="BM3" s="7"/>
      <c r="BN3" s="7"/>
      <c r="BO3" s="7"/>
      <c r="BP3" s="7"/>
      <c r="BQ3" s="7"/>
    </row>
    <row r="5" spans="1:69">
      <c r="S5" s="5"/>
      <c r="U5" s="5">
        <v>1871</v>
      </c>
      <c r="V5" s="3" t="s">
        <v>7</v>
      </c>
      <c r="W5" s="3" t="s">
        <v>1</v>
      </c>
      <c r="X5" s="5">
        <v>1875</v>
      </c>
    </row>
    <row r="6" spans="1:69">
      <c r="S6" s="5"/>
      <c r="U6" s="5" t="s">
        <v>4</v>
      </c>
      <c r="W6" s="3" t="s">
        <v>14</v>
      </c>
      <c r="X6" s="5" t="s">
        <v>4</v>
      </c>
      <c r="AJ6" s="8" t="s">
        <v>64</v>
      </c>
      <c r="AK6" s="8" t="s">
        <v>3</v>
      </c>
    </row>
    <row r="7" spans="1:69">
      <c r="S7" s="5"/>
      <c r="U7" s="5">
        <v>1948</v>
      </c>
      <c r="V7" s="3" t="s">
        <v>16</v>
      </c>
      <c r="W7" s="3" t="s">
        <v>17</v>
      </c>
      <c r="X7" s="5">
        <v>1956</v>
      </c>
    </row>
    <row r="8" spans="1:69">
      <c r="W8" s="10"/>
    </row>
    <row r="9" spans="1:69">
      <c r="O9" s="18">
        <v>2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23">
        <v>1</v>
      </c>
    </row>
    <row r="10" spans="1:69">
      <c r="M10" s="5">
        <v>1910</v>
      </c>
      <c r="N10" s="3" t="s">
        <v>1</v>
      </c>
      <c r="O10" s="3" t="s">
        <v>1</v>
      </c>
      <c r="P10" s="5">
        <v>1906</v>
      </c>
      <c r="AD10" s="5">
        <v>1902</v>
      </c>
      <c r="AE10" s="3" t="s">
        <v>7</v>
      </c>
      <c r="AF10" s="3" t="s">
        <v>1</v>
      </c>
      <c r="AG10" s="5">
        <v>1899</v>
      </c>
      <c r="AJ10" s="6"/>
      <c r="AK10" s="6"/>
    </row>
    <row r="11" spans="1:69">
      <c r="M11" s="5" t="s">
        <v>4</v>
      </c>
      <c r="N11" s="3" t="s">
        <v>21</v>
      </c>
      <c r="O11" s="3" t="s">
        <v>22</v>
      </c>
      <c r="P11" s="5" t="s">
        <v>4</v>
      </c>
      <c r="AD11" s="5" t="s">
        <v>4</v>
      </c>
      <c r="AF11" s="3" t="s">
        <v>23</v>
      </c>
      <c r="AG11" s="5" t="s">
        <v>4</v>
      </c>
      <c r="AJ11" s="8" t="s">
        <v>93</v>
      </c>
      <c r="AK11" s="8" t="s">
        <v>3</v>
      </c>
    </row>
    <row r="12" spans="1:69">
      <c r="M12" s="5">
        <v>1996</v>
      </c>
      <c r="N12" s="3" t="s">
        <v>29</v>
      </c>
      <c r="O12" s="3" t="s">
        <v>30</v>
      </c>
      <c r="P12" s="5">
        <v>1995</v>
      </c>
      <c r="AD12" s="5">
        <v>1944</v>
      </c>
      <c r="AE12" s="3" t="s">
        <v>31</v>
      </c>
      <c r="AF12" s="3" t="s">
        <v>32</v>
      </c>
      <c r="AG12" s="5">
        <v>1940</v>
      </c>
    </row>
    <row r="13" spans="1:69">
      <c r="N13" s="3" t="s">
        <v>209</v>
      </c>
      <c r="O13" s="28"/>
      <c r="AF13" s="10"/>
      <c r="AJ13" s="25"/>
      <c r="AK13" s="25"/>
    </row>
    <row r="14" spans="1:69">
      <c r="I14" s="35">
        <v>6</v>
      </c>
      <c r="J14" s="13"/>
      <c r="K14" s="13"/>
      <c r="L14" s="35">
        <v>5</v>
      </c>
      <c r="M14" s="14"/>
      <c r="N14" s="13"/>
      <c r="O14" s="35">
        <v>4</v>
      </c>
      <c r="P14" s="13"/>
      <c r="Q14" s="13"/>
      <c r="R14" s="35">
        <v>3</v>
      </c>
      <c r="S14" s="14"/>
      <c r="T14" s="13"/>
      <c r="U14" s="35">
        <v>2</v>
      </c>
      <c r="V14" s="13"/>
      <c r="W14" s="13"/>
      <c r="X14" s="23">
        <v>1</v>
      </c>
      <c r="AD14" s="18"/>
      <c r="AE14" s="13"/>
      <c r="AF14" s="13"/>
      <c r="AG14" s="13"/>
      <c r="AH14" s="10"/>
      <c r="AJ14" s="25"/>
      <c r="AK14" s="25"/>
    </row>
    <row r="15" spans="1:69">
      <c r="H15" s="3" t="s">
        <v>210</v>
      </c>
      <c r="I15" s="3" t="s">
        <v>1</v>
      </c>
      <c r="K15" s="3" t="s">
        <v>1</v>
      </c>
      <c r="L15" s="3" t="s">
        <v>1</v>
      </c>
      <c r="N15" s="3" t="s">
        <v>211</v>
      </c>
      <c r="O15" s="3" t="s">
        <v>1</v>
      </c>
      <c r="Q15" s="3" t="s">
        <v>114</v>
      </c>
      <c r="R15" s="3" t="s">
        <v>1</v>
      </c>
      <c r="T15" s="4" t="s">
        <v>1</v>
      </c>
      <c r="U15" s="4"/>
      <c r="W15" s="3" t="s">
        <v>1</v>
      </c>
      <c r="X15" s="3" t="s">
        <v>1</v>
      </c>
      <c r="AC15" s="3" t="s">
        <v>212</v>
      </c>
      <c r="AD15" s="3" t="s">
        <v>1</v>
      </c>
      <c r="AG15" s="116" t="s">
        <v>1</v>
      </c>
      <c r="AH15" s="116"/>
      <c r="AJ15" s="6"/>
      <c r="AK15" s="6"/>
    </row>
    <row r="16" spans="1:69">
      <c r="H16" s="3" t="s">
        <v>213</v>
      </c>
      <c r="I16" s="3" t="s">
        <v>46</v>
      </c>
      <c r="K16" s="3" t="s">
        <v>214</v>
      </c>
      <c r="L16" s="3" t="s">
        <v>46</v>
      </c>
      <c r="N16" s="3" t="s">
        <v>215</v>
      </c>
      <c r="O16" s="3" t="s">
        <v>47</v>
      </c>
      <c r="R16" s="3" t="s">
        <v>48</v>
      </c>
      <c r="T16" s="4" t="s">
        <v>50</v>
      </c>
      <c r="U16" s="4"/>
      <c r="W16" s="3" t="s">
        <v>211</v>
      </c>
      <c r="X16" s="3" t="s">
        <v>49</v>
      </c>
      <c r="AC16" s="3" t="s">
        <v>215</v>
      </c>
      <c r="AD16" s="3" t="s">
        <v>50</v>
      </c>
      <c r="AG16" s="116" t="s">
        <v>51</v>
      </c>
      <c r="AH16" s="116"/>
      <c r="AJ16" s="8" t="s">
        <v>304</v>
      </c>
      <c r="AK16" s="8" t="s">
        <v>3</v>
      </c>
    </row>
    <row r="17" spans="1:41">
      <c r="H17" s="3" t="s">
        <v>78</v>
      </c>
      <c r="I17" s="3" t="s">
        <v>60</v>
      </c>
      <c r="K17" s="3" t="s">
        <v>216</v>
      </c>
      <c r="L17" s="3" t="s">
        <v>61</v>
      </c>
      <c r="N17" s="3" t="s">
        <v>217</v>
      </c>
      <c r="O17" s="3" t="s">
        <v>10</v>
      </c>
      <c r="Q17" s="3" t="s">
        <v>218</v>
      </c>
      <c r="R17" s="3" t="s">
        <v>43</v>
      </c>
      <c r="T17" s="4" t="s">
        <v>63</v>
      </c>
      <c r="U17" s="4"/>
      <c r="W17" s="3" t="s">
        <v>219</v>
      </c>
      <c r="X17" s="3" t="s">
        <v>62</v>
      </c>
      <c r="AC17" s="3" t="s">
        <v>213</v>
      </c>
      <c r="AD17" s="3" t="s">
        <v>63</v>
      </c>
      <c r="AG17" s="116" t="s">
        <v>15</v>
      </c>
      <c r="AH17" s="116"/>
    </row>
    <row r="18" spans="1:41">
      <c r="I18" s="23"/>
      <c r="L18" s="23"/>
      <c r="T18" s="4" t="s">
        <v>33</v>
      </c>
      <c r="U18" s="4"/>
      <c r="W18" s="3" t="s">
        <v>220</v>
      </c>
      <c r="AD18" s="10"/>
    </row>
    <row r="19" spans="1:41">
      <c r="F19" s="1"/>
      <c r="G19" s="1"/>
      <c r="H19" s="2"/>
      <c r="I19" s="17"/>
      <c r="J19" s="2"/>
      <c r="K19" s="4"/>
      <c r="L19" s="10"/>
      <c r="T19" s="4" t="s">
        <v>1</v>
      </c>
      <c r="U19" s="4"/>
      <c r="X19" s="23"/>
      <c r="AB19" s="35">
        <v>2</v>
      </c>
      <c r="AC19" s="13"/>
      <c r="AD19" s="13"/>
      <c r="AE19" s="13"/>
      <c r="AF19" s="23">
        <v>1</v>
      </c>
    </row>
    <row r="20" spans="1:41">
      <c r="F20" s="1"/>
      <c r="G20" s="1"/>
      <c r="H20" s="116" t="s">
        <v>1</v>
      </c>
      <c r="I20" s="116"/>
      <c r="K20" s="3" t="s">
        <v>114</v>
      </c>
      <c r="L20" s="3" t="s">
        <v>1</v>
      </c>
      <c r="T20" s="4" t="s">
        <v>23</v>
      </c>
      <c r="U20" s="4"/>
      <c r="W20" s="3" t="s">
        <v>221</v>
      </c>
      <c r="X20" s="3" t="s">
        <v>1</v>
      </c>
      <c r="AA20" s="3" t="s">
        <v>21</v>
      </c>
      <c r="AB20" s="3" t="s">
        <v>1</v>
      </c>
      <c r="AE20" s="3" t="s">
        <v>222</v>
      </c>
      <c r="AF20" s="3" t="s">
        <v>1</v>
      </c>
      <c r="AJ20" s="6"/>
      <c r="AK20" s="6"/>
    </row>
    <row r="21" spans="1:41" s="25" customFormat="1">
      <c r="A21" s="1"/>
      <c r="B21" s="1"/>
      <c r="C21" s="1"/>
      <c r="D21" s="2"/>
      <c r="E21" s="2"/>
      <c r="F21" s="1"/>
      <c r="G21" s="1"/>
      <c r="H21" s="116" t="s">
        <v>74</v>
      </c>
      <c r="I21" s="116"/>
      <c r="J21" s="3"/>
      <c r="K21" s="3" t="s">
        <v>14</v>
      </c>
      <c r="L21" s="3" t="s">
        <v>74</v>
      </c>
      <c r="M21" s="4"/>
      <c r="N21" s="3"/>
      <c r="O21" s="3"/>
      <c r="P21" s="3"/>
      <c r="Q21" s="3"/>
      <c r="R21" s="3"/>
      <c r="S21" s="3"/>
      <c r="T21" s="4" t="s">
        <v>32</v>
      </c>
      <c r="U21" s="4"/>
      <c r="V21" s="3"/>
      <c r="W21" s="3" t="s">
        <v>223</v>
      </c>
      <c r="X21" s="3" t="s">
        <v>75</v>
      </c>
      <c r="Y21" s="3"/>
      <c r="Z21" s="3"/>
      <c r="AA21" s="3" t="s">
        <v>76</v>
      </c>
      <c r="AB21" s="3" t="s">
        <v>76</v>
      </c>
      <c r="AC21" s="3"/>
      <c r="AD21" s="3"/>
      <c r="AE21" s="3" t="s">
        <v>115</v>
      </c>
      <c r="AF21" s="3" t="s">
        <v>76</v>
      </c>
      <c r="AG21" s="3"/>
      <c r="AH21" s="3"/>
      <c r="AI21" s="3"/>
      <c r="AJ21" s="8" t="s">
        <v>307</v>
      </c>
      <c r="AK21" s="8" t="s">
        <v>3</v>
      </c>
      <c r="AL21" s="50"/>
      <c r="AM21" s="50"/>
      <c r="AN21" s="50"/>
      <c r="AO21" s="50"/>
    </row>
    <row r="22" spans="1:41" s="25" customFormat="1">
      <c r="A22" s="1"/>
      <c r="B22" s="1"/>
      <c r="C22" s="1"/>
      <c r="D22" s="2"/>
      <c r="E22" s="2"/>
      <c r="F22" s="2"/>
      <c r="G22" s="4"/>
      <c r="H22" s="116" t="s">
        <v>13</v>
      </c>
      <c r="I22" s="116"/>
      <c r="J22" s="3"/>
      <c r="K22" s="3" t="s">
        <v>224</v>
      </c>
      <c r="L22" s="3" t="s">
        <v>89</v>
      </c>
      <c r="M22" s="4"/>
      <c r="N22" s="3"/>
      <c r="O22" s="3"/>
      <c r="P22" s="3"/>
      <c r="Q22" s="3"/>
      <c r="R22" s="3"/>
      <c r="S22" s="3"/>
      <c r="T22" s="4" t="s">
        <v>225</v>
      </c>
      <c r="U22" s="4"/>
      <c r="V22" s="3"/>
      <c r="W22" s="3" t="s">
        <v>192</v>
      </c>
      <c r="X22" s="3" t="s">
        <v>91</v>
      </c>
      <c r="Y22" s="3"/>
      <c r="Z22" s="3"/>
      <c r="AA22" s="3" t="s">
        <v>226</v>
      </c>
      <c r="AB22" s="3" t="s">
        <v>92</v>
      </c>
      <c r="AC22" s="3"/>
      <c r="AD22" s="3"/>
      <c r="AE22" s="3" t="s">
        <v>209</v>
      </c>
      <c r="AF22" s="3" t="s">
        <v>87</v>
      </c>
      <c r="AG22" s="3"/>
      <c r="AH22" s="3"/>
      <c r="AI22" s="3"/>
      <c r="AL22" s="50"/>
      <c r="AM22" s="50"/>
      <c r="AN22" s="50"/>
      <c r="AO22" s="50"/>
    </row>
    <row r="23" spans="1:41">
      <c r="T23" s="4" t="s">
        <v>227</v>
      </c>
      <c r="U23" s="4"/>
      <c r="X23" s="23"/>
      <c r="AB23" s="10"/>
    </row>
    <row r="24" spans="1:41">
      <c r="X24" s="10"/>
      <c r="AA24" s="18"/>
      <c r="AB24" s="13"/>
      <c r="AC24" s="10"/>
    </row>
    <row r="25" spans="1:41">
      <c r="W25" s="116" t="s">
        <v>1</v>
      </c>
      <c r="X25" s="116"/>
      <c r="Z25" s="116" t="s">
        <v>1</v>
      </c>
      <c r="AA25" s="116"/>
      <c r="AB25" s="116" t="s">
        <v>1</v>
      </c>
      <c r="AC25" s="116"/>
    </row>
    <row r="26" spans="1:41">
      <c r="W26" s="116" t="s">
        <v>100</v>
      </c>
      <c r="X26" s="116"/>
      <c r="Z26" s="116" t="s">
        <v>101</v>
      </c>
      <c r="AA26" s="116"/>
      <c r="AB26" s="116" t="s">
        <v>102</v>
      </c>
      <c r="AC26" s="116"/>
      <c r="AJ26" s="8" t="s">
        <v>311</v>
      </c>
      <c r="AK26" s="8" t="s">
        <v>3</v>
      </c>
    </row>
    <row r="27" spans="1:41">
      <c r="W27" s="116" t="s">
        <v>109</v>
      </c>
      <c r="X27" s="116"/>
    </row>
    <row r="29" spans="1:41" s="25" customFormat="1">
      <c r="A29" s="1"/>
      <c r="B29" s="1"/>
      <c r="C29" s="1"/>
      <c r="D29" s="2"/>
      <c r="E29" s="2"/>
      <c r="F29" s="2"/>
      <c r="G29" s="4"/>
      <c r="H29" s="3"/>
      <c r="I29" s="3"/>
      <c r="J29" s="3"/>
      <c r="K29" s="3"/>
      <c r="L29" s="3"/>
      <c r="M29" s="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9"/>
      <c r="AK29" s="9"/>
      <c r="AL29" s="50"/>
      <c r="AM29" s="50"/>
      <c r="AN29" s="50"/>
      <c r="AO29" s="50"/>
    </row>
    <row r="30" spans="1:41" s="25" customFormat="1">
      <c r="A30" s="1"/>
      <c r="B30" s="1"/>
      <c r="C30" s="1"/>
      <c r="D30" s="2"/>
      <c r="E30" s="2"/>
      <c r="F30" s="2"/>
      <c r="G30" s="4"/>
      <c r="H30" s="3"/>
      <c r="I30" s="3"/>
      <c r="J30" s="3"/>
      <c r="K30" s="3"/>
      <c r="L30" s="3"/>
      <c r="M30" s="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9"/>
      <c r="AK30" s="9"/>
      <c r="AL30" s="50"/>
      <c r="AM30" s="50"/>
      <c r="AN30" s="50"/>
      <c r="AO30" s="50"/>
    </row>
  </sheetData>
  <mergeCells count="13">
    <mergeCell ref="H22:I22"/>
    <mergeCell ref="AG15:AH15"/>
    <mergeCell ref="AG16:AH16"/>
    <mergeCell ref="AG17:AH17"/>
    <mergeCell ref="H20:I20"/>
    <mergeCell ref="H21:I21"/>
    <mergeCell ref="W27:X27"/>
    <mergeCell ref="W25:X25"/>
    <mergeCell ref="Z25:AA25"/>
    <mergeCell ref="AB25:AC25"/>
    <mergeCell ref="W26:X26"/>
    <mergeCell ref="Z26:AA26"/>
    <mergeCell ref="AB26:AC26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4:BB26"/>
  <sheetViews>
    <sheetView showGridLines="0" zoomScaleNormal="100" workbookViewId="0">
      <selection activeCell="R8" sqref="R8"/>
    </sheetView>
  </sheetViews>
  <sheetFormatPr defaultColWidth="3.77734375" defaultRowHeight="22.2"/>
  <cols>
    <col min="1" max="1" width="3.77734375" style="9"/>
    <col min="2" max="11" width="3.77734375" style="2"/>
    <col min="12" max="13" width="3.77734375" style="3"/>
    <col min="14" max="14" width="3.77734375" style="2"/>
    <col min="15" max="16" width="3.77734375" style="4"/>
    <col min="17" max="18" width="2.77734375" style="3" customWidth="1"/>
    <col min="19" max="25" width="3.77734375" style="3"/>
    <col min="26" max="26" width="3.77734375" style="4"/>
    <col min="27" max="51" width="3.77734375" style="3"/>
    <col min="52" max="52" width="3.77734375" style="7"/>
    <col min="53" max="16384" width="3.77734375" style="9"/>
  </cols>
  <sheetData>
    <row r="4" spans="1:54">
      <c r="T4" s="9"/>
      <c r="U4" s="9"/>
      <c r="V4" s="5">
        <v>1875</v>
      </c>
      <c r="W4" s="3" t="s">
        <v>7</v>
      </c>
      <c r="X4" s="3" t="s">
        <v>1</v>
      </c>
      <c r="Y4" s="5">
        <v>1871</v>
      </c>
      <c r="Z4" s="9"/>
      <c r="AA4" s="9"/>
      <c r="AB4" s="9"/>
      <c r="AC4" s="9"/>
      <c r="AD4" s="5"/>
      <c r="AE4" s="9"/>
    </row>
    <row r="5" spans="1:54">
      <c r="M5" s="4"/>
      <c r="R5" s="4"/>
      <c r="S5" s="4"/>
      <c r="T5" s="9"/>
      <c r="U5" s="9"/>
      <c r="V5" s="5" t="s">
        <v>4</v>
      </c>
      <c r="X5" s="3" t="s">
        <v>14</v>
      </c>
      <c r="Y5" s="5" t="s">
        <v>4</v>
      </c>
      <c r="Z5" s="9"/>
      <c r="AA5" s="9"/>
      <c r="AB5" s="9"/>
      <c r="AC5" s="9"/>
      <c r="AD5" s="5"/>
      <c r="AE5" s="9"/>
      <c r="AG5" s="4"/>
      <c r="AH5" s="4"/>
      <c r="AI5" s="4"/>
      <c r="AJ5" s="4"/>
      <c r="AL5" s="4"/>
      <c r="AS5" s="4"/>
      <c r="BA5" s="8" t="s">
        <v>64</v>
      </c>
      <c r="BB5" s="8" t="s">
        <v>3</v>
      </c>
    </row>
    <row r="6" spans="1:54">
      <c r="T6" s="9"/>
      <c r="U6" s="9"/>
      <c r="V6" s="5">
        <v>1956</v>
      </c>
      <c r="W6" s="3" t="s">
        <v>16</v>
      </c>
      <c r="X6" s="3" t="s">
        <v>17</v>
      </c>
      <c r="Y6" s="5">
        <v>1948</v>
      </c>
      <c r="Z6" s="9"/>
      <c r="AA6" s="9"/>
      <c r="AB6" s="9"/>
      <c r="AC6" s="9"/>
      <c r="AD6" s="5"/>
      <c r="AE6" s="9"/>
    </row>
    <row r="7" spans="1:54">
      <c r="T7" s="9"/>
      <c r="U7" s="9"/>
      <c r="X7" s="10"/>
      <c r="Z7" s="9"/>
      <c r="AA7" s="9"/>
      <c r="AB7" s="9"/>
      <c r="AC7" s="9"/>
      <c r="AL7" s="16"/>
    </row>
    <row r="8" spans="1:54">
      <c r="K8" s="18">
        <v>4</v>
      </c>
      <c r="L8" s="13"/>
      <c r="M8" s="19"/>
      <c r="N8" s="12"/>
      <c r="O8" s="13"/>
      <c r="P8" s="13"/>
      <c r="Q8" s="13"/>
      <c r="R8" s="19"/>
      <c r="S8" s="19"/>
      <c r="T8" s="19"/>
      <c r="U8" s="13"/>
      <c r="V8" s="14"/>
      <c r="W8" s="14"/>
      <c r="X8" s="14"/>
      <c r="Y8" s="13"/>
      <c r="Z8" s="13"/>
      <c r="AA8" s="14"/>
      <c r="AB8" s="13"/>
      <c r="AC8" s="13"/>
      <c r="AD8" s="13"/>
      <c r="AE8" s="13"/>
      <c r="AF8" s="13"/>
      <c r="AG8" s="14"/>
      <c r="AH8" s="13"/>
      <c r="AI8" s="13"/>
      <c r="AJ8" s="13"/>
      <c r="AK8" s="13"/>
      <c r="AL8" s="13"/>
      <c r="AM8" s="10">
        <v>3</v>
      </c>
    </row>
    <row r="9" spans="1:54">
      <c r="H9" s="9"/>
      <c r="I9" s="5">
        <v>1919</v>
      </c>
      <c r="J9" s="3" t="s">
        <v>1</v>
      </c>
      <c r="K9" s="3" t="s">
        <v>1</v>
      </c>
      <c r="L9" s="54">
        <v>1917</v>
      </c>
      <c r="M9" s="9"/>
      <c r="O9" s="3"/>
      <c r="P9" s="3"/>
      <c r="R9" s="9"/>
      <c r="S9" s="9"/>
      <c r="T9" s="9"/>
      <c r="U9" s="4"/>
      <c r="V9" s="4"/>
      <c r="W9" s="4"/>
      <c r="X9" s="4"/>
      <c r="AA9" s="4"/>
      <c r="AF9" s="4"/>
      <c r="AG9" s="4"/>
      <c r="AK9" s="5">
        <v>1913</v>
      </c>
      <c r="AL9" s="3" t="s">
        <v>1</v>
      </c>
      <c r="AM9" s="3" t="s">
        <v>1</v>
      </c>
      <c r="AN9" s="54">
        <v>1910</v>
      </c>
      <c r="AO9" s="5"/>
      <c r="AP9" s="5"/>
      <c r="AQ9" s="5"/>
      <c r="AR9" s="5"/>
      <c r="BA9" s="6"/>
      <c r="BB9" s="6"/>
    </row>
    <row r="10" spans="1:54">
      <c r="H10" s="9"/>
      <c r="I10" s="5" t="s">
        <v>4</v>
      </c>
      <c r="J10" s="3" t="s">
        <v>20</v>
      </c>
      <c r="K10" s="3"/>
      <c r="L10" s="5" t="s">
        <v>4</v>
      </c>
      <c r="M10" s="9"/>
      <c r="O10" s="3"/>
      <c r="P10" s="3"/>
      <c r="R10" s="9"/>
      <c r="S10" s="9"/>
      <c r="T10" s="9"/>
      <c r="V10" s="4"/>
      <c r="W10" s="4"/>
      <c r="X10" s="4"/>
      <c r="Z10" s="3"/>
      <c r="AA10" s="4"/>
      <c r="AG10" s="4"/>
      <c r="AK10" s="5" t="s">
        <v>4</v>
      </c>
      <c r="AL10" s="3" t="s">
        <v>7</v>
      </c>
      <c r="AN10" s="5" t="s">
        <v>4</v>
      </c>
      <c r="AO10" s="5"/>
      <c r="AP10" s="5"/>
      <c r="AQ10" s="5"/>
      <c r="AR10" s="5"/>
      <c r="AT10" s="4"/>
      <c r="BA10" s="8" t="s">
        <v>93</v>
      </c>
      <c r="BB10" s="8" t="s">
        <v>3</v>
      </c>
    </row>
    <row r="11" spans="1:54" s="25" customFormat="1">
      <c r="B11" s="2"/>
      <c r="C11" s="2"/>
      <c r="D11" s="2"/>
      <c r="E11" s="2"/>
      <c r="F11" s="2"/>
      <c r="G11" s="2"/>
      <c r="I11" s="5">
        <v>2000</v>
      </c>
      <c r="J11" s="3" t="s">
        <v>25</v>
      </c>
      <c r="K11" s="3" t="s">
        <v>26</v>
      </c>
      <c r="L11" s="54">
        <v>2004</v>
      </c>
      <c r="N11" s="2"/>
      <c r="O11" s="3"/>
      <c r="P11" s="3"/>
      <c r="Q11" s="3"/>
      <c r="U11" s="3"/>
      <c r="V11" s="4"/>
      <c r="W11" s="4"/>
      <c r="X11" s="4"/>
      <c r="Y11" s="3"/>
      <c r="Z11" s="3"/>
      <c r="AA11" s="4"/>
      <c r="AB11" s="3"/>
      <c r="AC11" s="3"/>
      <c r="AD11" s="3"/>
      <c r="AE11" s="3"/>
      <c r="AF11" s="3"/>
      <c r="AG11" s="4"/>
      <c r="AH11" s="3"/>
      <c r="AI11" s="3"/>
      <c r="AJ11" s="3"/>
      <c r="AK11" s="5">
        <v>1995</v>
      </c>
      <c r="AL11" s="3" t="s">
        <v>27</v>
      </c>
      <c r="AM11" s="3" t="s">
        <v>28</v>
      </c>
      <c r="AN11" s="54">
        <v>1997</v>
      </c>
      <c r="AO11" s="5"/>
      <c r="AP11" s="5"/>
      <c r="AQ11" s="5"/>
      <c r="AR11" s="5"/>
      <c r="AS11" s="3"/>
      <c r="AT11" s="3"/>
      <c r="AU11" s="3"/>
      <c r="AV11" s="3"/>
      <c r="AW11" s="3"/>
      <c r="AX11" s="3"/>
      <c r="AY11" s="3"/>
      <c r="AZ11" s="27"/>
      <c r="BA11" s="9"/>
      <c r="BB11" s="9"/>
    </row>
    <row r="12" spans="1:54" s="25" customFormat="1">
      <c r="B12" s="2"/>
      <c r="C12" s="2"/>
      <c r="D12" s="2"/>
      <c r="E12" s="2"/>
      <c r="F12" s="2"/>
      <c r="G12" s="2"/>
      <c r="H12" s="3"/>
      <c r="I12" s="3"/>
      <c r="J12" s="3"/>
      <c r="K12" s="28"/>
      <c r="L12" s="3"/>
      <c r="M12" s="3"/>
      <c r="N12" s="2"/>
      <c r="O12" s="3"/>
      <c r="P12" s="3"/>
      <c r="Q12" s="3"/>
      <c r="U12" s="3"/>
      <c r="V12" s="4"/>
      <c r="W12" s="4"/>
      <c r="X12" s="4"/>
      <c r="Y12" s="3"/>
      <c r="Z12" s="3"/>
      <c r="AA12" s="4"/>
      <c r="AB12" s="3"/>
      <c r="AC12" s="3"/>
      <c r="AD12" s="3"/>
      <c r="AE12" s="3"/>
      <c r="AF12" s="3"/>
      <c r="AG12" s="4"/>
      <c r="AH12" s="3"/>
      <c r="AI12" s="3"/>
      <c r="AJ12" s="3"/>
      <c r="AK12" s="3"/>
      <c r="AL12" s="3"/>
      <c r="AM12" s="10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27"/>
    </row>
    <row r="13" spans="1:54" s="6" customFormat="1">
      <c r="B13" s="3"/>
      <c r="C13" s="18">
        <v>4</v>
      </c>
      <c r="D13" s="13"/>
      <c r="E13" s="13"/>
      <c r="F13" s="13"/>
      <c r="G13" s="13"/>
      <c r="H13" s="18">
        <v>3</v>
      </c>
      <c r="I13" s="13"/>
      <c r="J13" s="13"/>
      <c r="K13" s="13"/>
      <c r="L13" s="13"/>
      <c r="M13" s="21"/>
      <c r="N13" s="18">
        <v>2</v>
      </c>
      <c r="O13" s="13"/>
      <c r="P13" s="13"/>
      <c r="Q13" s="30"/>
      <c r="R13" s="36">
        <v>1</v>
      </c>
      <c r="U13" s="3"/>
      <c r="V13" s="4"/>
      <c r="W13" s="4"/>
      <c r="X13" s="4"/>
      <c r="Y13" s="3"/>
      <c r="Z13" s="3"/>
      <c r="AA13" s="35">
        <v>3</v>
      </c>
      <c r="AB13" s="13"/>
      <c r="AC13" s="13"/>
      <c r="AD13" s="13"/>
      <c r="AE13" s="13"/>
      <c r="AF13" s="13"/>
      <c r="AG13" s="14"/>
      <c r="AH13" s="13"/>
      <c r="AI13" s="13"/>
      <c r="AJ13" s="13"/>
      <c r="AK13" s="13"/>
      <c r="AL13" s="21"/>
      <c r="AM13" s="14"/>
      <c r="AN13" s="18">
        <v>2</v>
      </c>
      <c r="AO13" s="13"/>
      <c r="AP13" s="13"/>
      <c r="AQ13" s="13"/>
      <c r="AR13" s="13"/>
      <c r="AS13" s="13"/>
      <c r="AT13" s="13"/>
      <c r="AU13" s="13"/>
      <c r="AV13" s="13"/>
      <c r="AW13" s="10">
        <v>1</v>
      </c>
      <c r="AX13" s="3"/>
      <c r="AY13" s="3"/>
      <c r="BA13" s="25"/>
      <c r="BB13" s="25"/>
    </row>
    <row r="14" spans="1:54">
      <c r="A14" s="51">
        <f>1911+46</f>
        <v>1957</v>
      </c>
      <c r="B14" s="115" t="s">
        <v>281</v>
      </c>
      <c r="C14" s="4" t="s">
        <v>1</v>
      </c>
      <c r="D14" s="54">
        <v>1958</v>
      </c>
      <c r="E14" s="4"/>
      <c r="F14" s="51">
        <v>1963</v>
      </c>
      <c r="G14" s="3" t="s">
        <v>229</v>
      </c>
      <c r="H14" s="3" t="s">
        <v>1</v>
      </c>
      <c r="I14" s="54">
        <v>1957</v>
      </c>
      <c r="J14" s="3"/>
      <c r="K14" s="3"/>
      <c r="L14" s="51">
        <f>1911+34</f>
        <v>1945</v>
      </c>
      <c r="M14" s="3" t="s">
        <v>230</v>
      </c>
      <c r="N14" s="3" t="s">
        <v>1</v>
      </c>
      <c r="O14" s="54">
        <v>1951</v>
      </c>
      <c r="P14" s="3"/>
      <c r="Q14" s="116" t="s">
        <v>1</v>
      </c>
      <c r="R14" s="116"/>
      <c r="S14" s="54">
        <v>1944</v>
      </c>
      <c r="T14" s="4"/>
      <c r="V14" s="4"/>
      <c r="W14" s="4"/>
      <c r="X14" s="4"/>
      <c r="Y14" s="5">
        <v>1947</v>
      </c>
      <c r="Z14" s="3" t="s">
        <v>231</v>
      </c>
      <c r="AA14" s="3" t="s">
        <v>1</v>
      </c>
      <c r="AB14" s="54">
        <v>1945</v>
      </c>
      <c r="AC14" s="4"/>
      <c r="AD14" s="4"/>
      <c r="AG14" s="4"/>
      <c r="AL14" s="52">
        <f>1911+33</f>
        <v>1944</v>
      </c>
      <c r="AM14" s="115" t="s">
        <v>1</v>
      </c>
      <c r="AN14" s="4" t="s">
        <v>1</v>
      </c>
      <c r="AO14" s="54">
        <v>1942</v>
      </c>
      <c r="AT14" s="9"/>
      <c r="AU14" s="5">
        <v>1935</v>
      </c>
      <c r="AV14" s="3" t="s">
        <v>1</v>
      </c>
      <c r="AW14" s="3" t="s">
        <v>1</v>
      </c>
      <c r="AX14" s="54">
        <v>1934</v>
      </c>
      <c r="AY14" s="5"/>
      <c r="BA14" s="6"/>
      <c r="BB14" s="6"/>
    </row>
    <row r="15" spans="1:54">
      <c r="A15" s="5"/>
      <c r="B15" s="115" t="s">
        <v>357</v>
      </c>
      <c r="C15" s="4" t="s">
        <v>39</v>
      </c>
      <c r="D15" s="5"/>
      <c r="E15" s="4"/>
      <c r="F15" s="5"/>
      <c r="G15" s="3" t="s">
        <v>232</v>
      </c>
      <c r="H15" s="3" t="s">
        <v>40</v>
      </c>
      <c r="I15" s="5"/>
      <c r="J15" s="3"/>
      <c r="K15" s="3"/>
      <c r="L15" s="5"/>
      <c r="M15" s="3" t="s">
        <v>213</v>
      </c>
      <c r="N15" s="3" t="s">
        <v>41</v>
      </c>
      <c r="O15" s="5"/>
      <c r="P15" s="3"/>
      <c r="Q15" s="116" t="s">
        <v>42</v>
      </c>
      <c r="R15" s="116"/>
      <c r="S15" s="5"/>
      <c r="T15" s="4"/>
      <c r="V15" s="4"/>
      <c r="W15" s="4"/>
      <c r="X15" s="4"/>
      <c r="Y15" s="5"/>
      <c r="Z15" s="3" t="s">
        <v>233</v>
      </c>
      <c r="AA15" s="3" t="s">
        <v>43</v>
      </c>
      <c r="AB15" s="5"/>
      <c r="AC15" s="4"/>
      <c r="AD15" s="4"/>
      <c r="AG15" s="4"/>
      <c r="AL15" s="5"/>
      <c r="AM15" s="115" t="s">
        <v>212</v>
      </c>
      <c r="AN15" s="4" t="s">
        <v>44</v>
      </c>
      <c r="AO15" s="5" t="s">
        <v>4</v>
      </c>
      <c r="AT15" s="9"/>
      <c r="AU15" s="5"/>
      <c r="AV15" s="3" t="s">
        <v>212</v>
      </c>
      <c r="AW15" s="3" t="s">
        <v>45</v>
      </c>
      <c r="AX15" s="5"/>
      <c r="AY15" s="5"/>
      <c r="BA15" s="8" t="s">
        <v>304</v>
      </c>
      <c r="BB15" s="8" t="s">
        <v>3</v>
      </c>
    </row>
    <row r="16" spans="1:54">
      <c r="A16" s="5"/>
      <c r="B16" s="115" t="s">
        <v>247</v>
      </c>
      <c r="C16" s="4" t="s">
        <v>53</v>
      </c>
      <c r="D16" s="5"/>
      <c r="E16" s="4"/>
      <c r="F16" s="5"/>
      <c r="G16" s="3" t="s">
        <v>234</v>
      </c>
      <c r="H16" s="3" t="s">
        <v>54</v>
      </c>
      <c r="I16" s="5"/>
      <c r="J16" s="3"/>
      <c r="K16" s="3"/>
      <c r="L16" s="5"/>
      <c r="M16" s="3" t="s">
        <v>235</v>
      </c>
      <c r="N16" s="3" t="s">
        <v>55</v>
      </c>
      <c r="O16" s="5"/>
      <c r="P16" s="3"/>
      <c r="Q16" s="116" t="s">
        <v>56</v>
      </c>
      <c r="R16" s="116"/>
      <c r="S16" s="5"/>
      <c r="T16" s="4"/>
      <c r="V16" s="4"/>
      <c r="W16" s="4"/>
      <c r="X16" s="4"/>
      <c r="Y16" s="5"/>
      <c r="Z16" s="3" t="s">
        <v>236</v>
      </c>
      <c r="AA16" s="3" t="s">
        <v>57</v>
      </c>
      <c r="AB16" s="5"/>
      <c r="AC16" s="4"/>
      <c r="AD16" s="4"/>
      <c r="AG16" s="4"/>
      <c r="AL16" s="5"/>
      <c r="AM16" s="115" t="s">
        <v>283</v>
      </c>
      <c r="AN16" s="4" t="s">
        <v>58</v>
      </c>
      <c r="AO16" s="54">
        <v>2017</v>
      </c>
      <c r="AT16" s="9"/>
      <c r="AU16" s="5"/>
      <c r="AV16" s="3" t="s">
        <v>115</v>
      </c>
      <c r="AW16" s="3" t="s">
        <v>59</v>
      </c>
      <c r="AX16" s="5"/>
      <c r="AY16" s="5"/>
    </row>
    <row r="17" spans="2:54">
      <c r="B17" s="9"/>
      <c r="C17" s="31"/>
      <c r="D17" s="9"/>
      <c r="E17" s="9"/>
      <c r="F17" s="3"/>
      <c r="G17" s="3"/>
      <c r="H17" s="10"/>
      <c r="I17" s="3"/>
      <c r="J17" s="3"/>
      <c r="K17" s="3"/>
      <c r="N17" s="10"/>
      <c r="O17" s="3"/>
      <c r="P17" s="3"/>
      <c r="Q17" s="9"/>
      <c r="R17" s="31"/>
      <c r="S17" s="9"/>
      <c r="T17" s="9"/>
      <c r="V17" s="34"/>
      <c r="W17" s="34"/>
      <c r="X17" s="34"/>
      <c r="Y17" s="16"/>
      <c r="Z17" s="16"/>
      <c r="AA17" s="28"/>
      <c r="AE17" s="16"/>
      <c r="AF17" s="16"/>
      <c r="AL17" s="9"/>
      <c r="AM17" s="115" t="s">
        <v>446</v>
      </c>
      <c r="AN17" s="10"/>
      <c r="AT17" s="9"/>
      <c r="AV17" s="3" t="s">
        <v>237</v>
      </c>
      <c r="AW17" s="10"/>
    </row>
    <row r="18" spans="2:54" s="6" customFormat="1">
      <c r="C18" s="10"/>
      <c r="D18" s="3"/>
      <c r="E18" s="3"/>
      <c r="F18" s="3"/>
      <c r="G18" s="18">
        <v>2</v>
      </c>
      <c r="H18" s="13"/>
      <c r="I18" s="10">
        <v>1</v>
      </c>
      <c r="J18" s="3"/>
      <c r="K18" s="3"/>
      <c r="L18" s="3"/>
      <c r="M18" s="18">
        <v>2</v>
      </c>
      <c r="N18" s="13"/>
      <c r="O18" s="10">
        <v>1</v>
      </c>
      <c r="P18" s="3"/>
      <c r="R18" s="10"/>
      <c r="S18" s="3"/>
      <c r="T18" s="3"/>
      <c r="U18" s="3"/>
      <c r="V18" s="23">
        <v>3</v>
      </c>
      <c r="W18" s="4"/>
      <c r="X18" s="4"/>
      <c r="Y18" s="3"/>
      <c r="Z18" s="3"/>
      <c r="AA18" s="35">
        <v>2</v>
      </c>
      <c r="AB18" s="13"/>
      <c r="AC18" s="13"/>
      <c r="AD18" s="13"/>
      <c r="AE18" s="3"/>
      <c r="AF18" s="3"/>
      <c r="AG18" s="10">
        <v>1</v>
      </c>
      <c r="AH18" s="3"/>
      <c r="AI18" s="3"/>
      <c r="AJ18" s="3"/>
      <c r="AK18" s="3"/>
      <c r="AL18" s="18">
        <v>2</v>
      </c>
      <c r="AM18" s="13"/>
      <c r="AN18" s="13"/>
      <c r="AO18" s="30"/>
      <c r="AP18" s="10">
        <v>1</v>
      </c>
      <c r="AQ18" s="3"/>
      <c r="AR18" s="3"/>
      <c r="AS18" s="3"/>
      <c r="AT18" s="3"/>
      <c r="AU18" s="18">
        <v>2</v>
      </c>
      <c r="AV18" s="13"/>
      <c r="AW18" s="13"/>
      <c r="AX18" s="30"/>
      <c r="AY18" s="10">
        <v>1</v>
      </c>
      <c r="BA18" s="9"/>
      <c r="BB18" s="9"/>
    </row>
    <row r="19" spans="2:54" s="25" customFormat="1">
      <c r="B19" s="116" t="s">
        <v>1</v>
      </c>
      <c r="C19" s="116"/>
      <c r="D19" s="54">
        <v>1996</v>
      </c>
      <c r="E19" s="52">
        <v>1993</v>
      </c>
      <c r="F19" s="116" t="s">
        <v>1</v>
      </c>
      <c r="G19" s="116"/>
      <c r="H19" s="116" t="s">
        <v>1</v>
      </c>
      <c r="I19" s="116"/>
      <c r="J19" s="54">
        <v>1991</v>
      </c>
      <c r="K19" s="52">
        <v>1970</v>
      </c>
      <c r="L19" s="116" t="s">
        <v>1</v>
      </c>
      <c r="M19" s="116"/>
      <c r="N19" s="116" t="s">
        <v>1</v>
      </c>
      <c r="O19" s="116"/>
      <c r="P19" s="54">
        <v>1968</v>
      </c>
      <c r="Q19" s="116" t="s">
        <v>1</v>
      </c>
      <c r="R19" s="116"/>
      <c r="S19" s="51"/>
      <c r="T19" s="5">
        <v>1982</v>
      </c>
      <c r="U19" s="3" t="s">
        <v>231</v>
      </c>
      <c r="V19" s="3" t="s">
        <v>1</v>
      </c>
      <c r="W19" s="54">
        <v>1978</v>
      </c>
      <c r="X19" s="4"/>
      <c r="Y19" s="5">
        <v>1979</v>
      </c>
      <c r="Z19" s="3" t="s">
        <v>11</v>
      </c>
      <c r="AA19" s="3" t="s">
        <v>1</v>
      </c>
      <c r="AB19" s="54">
        <v>1974</v>
      </c>
      <c r="AC19" s="3"/>
      <c r="AD19" s="3"/>
      <c r="AE19" s="5">
        <v>1971</v>
      </c>
      <c r="AF19" s="3" t="s">
        <v>238</v>
      </c>
      <c r="AG19" s="3" t="s">
        <v>1</v>
      </c>
      <c r="AH19" s="54">
        <v>1973</v>
      </c>
      <c r="AI19" s="3"/>
      <c r="AJ19" s="5">
        <f>1911+65</f>
        <v>1976</v>
      </c>
      <c r="AK19" s="3" t="s">
        <v>7</v>
      </c>
      <c r="AL19" s="3" t="s">
        <v>1</v>
      </c>
      <c r="AM19" s="54">
        <v>1969</v>
      </c>
      <c r="AN19" s="5">
        <v>1971</v>
      </c>
      <c r="AO19" s="3" t="s">
        <v>21</v>
      </c>
      <c r="AP19" s="3" t="s">
        <v>1</v>
      </c>
      <c r="AQ19" s="54">
        <v>1969</v>
      </c>
      <c r="AS19" s="52">
        <v>1967</v>
      </c>
      <c r="AT19" s="3" t="s">
        <v>21</v>
      </c>
      <c r="AU19" s="3" t="s">
        <v>1</v>
      </c>
      <c r="AV19" s="54">
        <v>1964</v>
      </c>
      <c r="AW19" s="51" t="s">
        <v>228</v>
      </c>
      <c r="AX19" s="3" t="s">
        <v>114</v>
      </c>
      <c r="AY19" s="3" t="s">
        <v>1</v>
      </c>
      <c r="AZ19" s="54">
        <v>1960</v>
      </c>
      <c r="BA19" s="6"/>
      <c r="BB19" s="6"/>
    </row>
    <row r="20" spans="2:54" s="25" customFormat="1">
      <c r="B20" s="116" t="s">
        <v>65</v>
      </c>
      <c r="C20" s="116"/>
      <c r="D20" s="4"/>
      <c r="E20" s="4"/>
      <c r="F20" s="116" t="s">
        <v>66</v>
      </c>
      <c r="G20" s="116"/>
      <c r="H20" s="116" t="s">
        <v>67</v>
      </c>
      <c r="I20" s="116"/>
      <c r="J20" s="4"/>
      <c r="K20" s="4"/>
      <c r="L20" s="116" t="s">
        <v>68</v>
      </c>
      <c r="M20" s="116"/>
      <c r="N20" s="116" t="s">
        <v>68</v>
      </c>
      <c r="O20" s="116"/>
      <c r="P20" s="4"/>
      <c r="Q20" s="116" t="s">
        <v>69</v>
      </c>
      <c r="R20" s="116"/>
      <c r="S20" s="4"/>
      <c r="T20" s="5"/>
      <c r="U20" s="3" t="s">
        <v>239</v>
      </c>
      <c r="V20" s="3" t="s">
        <v>70</v>
      </c>
      <c r="W20" s="5"/>
      <c r="X20" s="4"/>
      <c r="Y20" s="5"/>
      <c r="Z20" s="3" t="s">
        <v>69</v>
      </c>
      <c r="AA20" s="3" t="s">
        <v>70</v>
      </c>
      <c r="AB20" s="5"/>
      <c r="AC20" s="3"/>
      <c r="AD20" s="3"/>
      <c r="AE20" s="5"/>
      <c r="AF20" s="3" t="s">
        <v>240</v>
      </c>
      <c r="AG20" s="3" t="s">
        <v>70</v>
      </c>
      <c r="AH20" s="5"/>
      <c r="AI20" s="3"/>
      <c r="AJ20" s="5"/>
      <c r="AK20" s="3" t="s">
        <v>447</v>
      </c>
      <c r="AL20" s="3" t="s">
        <v>71</v>
      </c>
      <c r="AM20" s="5"/>
      <c r="AN20" s="5"/>
      <c r="AO20" s="3" t="s">
        <v>241</v>
      </c>
      <c r="AP20" s="3" t="s">
        <v>72</v>
      </c>
      <c r="AQ20" s="5"/>
      <c r="AS20" s="5"/>
      <c r="AT20" s="3" t="s">
        <v>213</v>
      </c>
      <c r="AU20" s="3" t="s">
        <v>73</v>
      </c>
      <c r="AV20" s="5"/>
      <c r="AW20" s="5"/>
      <c r="AX20" s="3" t="s">
        <v>242</v>
      </c>
      <c r="AY20" s="3" t="s">
        <v>73</v>
      </c>
      <c r="AZ20" s="5"/>
      <c r="BA20" s="8" t="s">
        <v>307</v>
      </c>
      <c r="BB20" s="8" t="s">
        <v>3</v>
      </c>
    </row>
    <row r="21" spans="2:54">
      <c r="B21" s="116" t="s">
        <v>77</v>
      </c>
      <c r="C21" s="116"/>
      <c r="D21" s="4"/>
      <c r="E21" s="4"/>
      <c r="F21" s="116" t="s">
        <v>78</v>
      </c>
      <c r="G21" s="116"/>
      <c r="H21" s="116" t="s">
        <v>79</v>
      </c>
      <c r="I21" s="116"/>
      <c r="J21" s="4"/>
      <c r="K21" s="4"/>
      <c r="L21" s="116" t="s">
        <v>80</v>
      </c>
      <c r="M21" s="116"/>
      <c r="N21" s="116" t="s">
        <v>81</v>
      </c>
      <c r="O21" s="116"/>
      <c r="Q21" s="116" t="s">
        <v>63</v>
      </c>
      <c r="R21" s="116"/>
      <c r="S21" s="4"/>
      <c r="T21" s="5"/>
      <c r="U21" s="3" t="s">
        <v>243</v>
      </c>
      <c r="V21" s="3" t="s">
        <v>82</v>
      </c>
      <c r="W21" s="5"/>
      <c r="X21" s="4"/>
      <c r="Y21" s="5"/>
      <c r="Z21" s="3" t="s">
        <v>115</v>
      </c>
      <c r="AA21" s="3" t="s">
        <v>83</v>
      </c>
      <c r="AB21" s="5"/>
      <c r="AE21" s="5"/>
      <c r="AF21" s="3" t="s">
        <v>132</v>
      </c>
      <c r="AG21" s="3" t="s">
        <v>84</v>
      </c>
      <c r="AH21" s="5"/>
      <c r="AJ21" s="5"/>
      <c r="AK21" s="3" t="s">
        <v>252</v>
      </c>
      <c r="AL21" s="3" t="s">
        <v>85</v>
      </c>
      <c r="AM21" s="5"/>
      <c r="AN21" s="5"/>
      <c r="AO21" s="3" t="s">
        <v>244</v>
      </c>
      <c r="AP21" s="3" t="s">
        <v>86</v>
      </c>
      <c r="AQ21" s="5"/>
      <c r="AS21" s="5"/>
      <c r="AT21" s="3" t="s">
        <v>245</v>
      </c>
      <c r="AU21" s="3" t="s">
        <v>87</v>
      </c>
      <c r="AV21" s="5"/>
      <c r="AW21" s="5"/>
      <c r="AX21" s="3" t="s">
        <v>246</v>
      </c>
      <c r="AY21" s="3" t="s">
        <v>88</v>
      </c>
      <c r="AZ21" s="5"/>
      <c r="BA21" s="25"/>
      <c r="BB21" s="25"/>
    </row>
    <row r="22" spans="2:54">
      <c r="U22" s="9"/>
      <c r="V22" s="31"/>
      <c r="W22" s="9"/>
      <c r="X22" s="9"/>
      <c r="Z22" s="3"/>
      <c r="AA22" s="10"/>
      <c r="AG22" s="10"/>
      <c r="AK22" s="9"/>
      <c r="AL22" s="31"/>
      <c r="AU22" s="10"/>
    </row>
    <row r="23" spans="2:54" s="6" customFormat="1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4"/>
      <c r="P23" s="4"/>
      <c r="Q23" s="3"/>
      <c r="R23" s="3"/>
      <c r="S23" s="3"/>
      <c r="T23" s="3"/>
      <c r="V23" s="10"/>
      <c r="W23" s="3"/>
      <c r="X23" s="3"/>
      <c r="Y23" s="3"/>
      <c r="Z23" s="18">
        <v>2</v>
      </c>
      <c r="AA23" s="13"/>
      <c r="AB23" s="10">
        <v>1</v>
      </c>
      <c r="AC23" s="3"/>
      <c r="AD23" s="3"/>
      <c r="AE23" s="3"/>
      <c r="AF23" s="18">
        <v>2</v>
      </c>
      <c r="AG23" s="13"/>
      <c r="AH23" s="10">
        <v>1</v>
      </c>
      <c r="AI23" s="3"/>
      <c r="AJ23" s="3"/>
      <c r="AL23" s="10"/>
      <c r="AM23" s="3"/>
      <c r="AN23" s="3"/>
      <c r="AO23" s="3"/>
      <c r="AP23" s="3"/>
      <c r="AQ23" s="3"/>
      <c r="AR23" s="3"/>
      <c r="AS23" s="3"/>
      <c r="AT23" s="18">
        <v>2</v>
      </c>
      <c r="AU23" s="13"/>
      <c r="AV23" s="10">
        <v>1</v>
      </c>
      <c r="AW23" s="3"/>
      <c r="AX23" s="3"/>
      <c r="AY23" s="3"/>
      <c r="BA23" s="9"/>
      <c r="BB23" s="9"/>
    </row>
    <row r="24" spans="2:54">
      <c r="U24" s="116" t="s">
        <v>1</v>
      </c>
      <c r="V24" s="116"/>
      <c r="W24" s="54">
        <v>2012</v>
      </c>
      <c r="X24" s="52">
        <v>2015</v>
      </c>
      <c r="Y24" s="116" t="s">
        <v>1</v>
      </c>
      <c r="Z24" s="116"/>
      <c r="AA24" s="116" t="s">
        <v>1</v>
      </c>
      <c r="AB24" s="116"/>
      <c r="AC24" s="54">
        <v>2007</v>
      </c>
      <c r="AD24" s="52">
        <v>2008</v>
      </c>
      <c r="AE24" s="116" t="s">
        <v>1</v>
      </c>
      <c r="AF24" s="116"/>
      <c r="AG24" s="116" t="s">
        <v>1</v>
      </c>
      <c r="AH24" s="116"/>
      <c r="AI24" s="54">
        <v>2002</v>
      </c>
      <c r="AJ24" s="4"/>
      <c r="AK24" s="116" t="s">
        <v>1</v>
      </c>
      <c r="AL24" s="116"/>
      <c r="AM24" s="54">
        <v>1998</v>
      </c>
      <c r="AR24" s="52">
        <v>2005</v>
      </c>
      <c r="AS24" s="116" t="s">
        <v>1</v>
      </c>
      <c r="AT24" s="116"/>
      <c r="AU24" s="116" t="s">
        <v>1</v>
      </c>
      <c r="AV24" s="116"/>
      <c r="AW24" s="54">
        <v>1994</v>
      </c>
    </row>
    <row r="25" spans="2:54">
      <c r="U25" s="116" t="s">
        <v>94</v>
      </c>
      <c r="V25" s="116"/>
      <c r="W25" s="4"/>
      <c r="X25" s="4"/>
      <c r="Y25" s="116" t="s">
        <v>95</v>
      </c>
      <c r="Z25" s="116"/>
      <c r="AA25" s="116" t="s">
        <v>96</v>
      </c>
      <c r="AB25" s="116"/>
      <c r="AC25" s="4"/>
      <c r="AD25" s="4"/>
      <c r="AE25" s="116" t="s">
        <v>97</v>
      </c>
      <c r="AF25" s="116"/>
      <c r="AG25" s="116" t="s">
        <v>97</v>
      </c>
      <c r="AH25" s="116"/>
      <c r="AI25" s="4"/>
      <c r="AJ25" s="4"/>
      <c r="AK25" s="116" t="s">
        <v>98</v>
      </c>
      <c r="AL25" s="116"/>
      <c r="AR25" s="5"/>
      <c r="AS25" s="116" t="s">
        <v>25</v>
      </c>
      <c r="AT25" s="116"/>
      <c r="AU25" s="116" t="s">
        <v>99</v>
      </c>
      <c r="AV25" s="116"/>
      <c r="AW25" s="5"/>
      <c r="BA25" s="8" t="s">
        <v>311</v>
      </c>
      <c r="BB25" s="8" t="s">
        <v>3</v>
      </c>
    </row>
    <row r="26" spans="2:54">
      <c r="U26" s="116" t="s">
        <v>103</v>
      </c>
      <c r="V26" s="116"/>
      <c r="W26" s="4"/>
      <c r="X26" s="4"/>
      <c r="Y26" s="116" t="s">
        <v>104</v>
      </c>
      <c r="Z26" s="116"/>
      <c r="AA26" s="116" t="s">
        <v>104</v>
      </c>
      <c r="AB26" s="116"/>
      <c r="AC26" s="4"/>
      <c r="AD26" s="4"/>
      <c r="AE26" s="116" t="s">
        <v>105</v>
      </c>
      <c r="AF26" s="116"/>
      <c r="AG26" s="116" t="s">
        <v>106</v>
      </c>
      <c r="AH26" s="116"/>
      <c r="AI26" s="4"/>
      <c r="AJ26" s="4"/>
      <c r="AK26" s="116" t="s">
        <v>107</v>
      </c>
      <c r="AL26" s="116"/>
      <c r="AS26" s="116" t="s">
        <v>108</v>
      </c>
      <c r="AT26" s="116"/>
      <c r="AU26" s="116" t="s">
        <v>66</v>
      </c>
      <c r="AV26" s="116"/>
    </row>
  </sheetData>
  <mergeCells count="45">
    <mergeCell ref="Q14:R14"/>
    <mergeCell ref="Q15:R15"/>
    <mergeCell ref="Q16:R16"/>
    <mergeCell ref="Q19:R19"/>
    <mergeCell ref="B19:C19"/>
    <mergeCell ref="F19:G19"/>
    <mergeCell ref="H19:I19"/>
    <mergeCell ref="L19:M19"/>
    <mergeCell ref="N19:O19"/>
    <mergeCell ref="Q21:R21"/>
    <mergeCell ref="B20:C20"/>
    <mergeCell ref="F20:G20"/>
    <mergeCell ref="H20:I20"/>
    <mergeCell ref="L20:M20"/>
    <mergeCell ref="N20:O20"/>
    <mergeCell ref="Q20:R20"/>
    <mergeCell ref="B21:C21"/>
    <mergeCell ref="F21:G21"/>
    <mergeCell ref="H21:I21"/>
    <mergeCell ref="L21:M21"/>
    <mergeCell ref="N21:O21"/>
    <mergeCell ref="AS24:AT24"/>
    <mergeCell ref="AU24:AV24"/>
    <mergeCell ref="U25:V25"/>
    <mergeCell ref="Y25:Z25"/>
    <mergeCell ref="AA25:AB25"/>
    <mergeCell ref="AE25:AF25"/>
    <mergeCell ref="AG25:AH25"/>
    <mergeCell ref="AK25:AL25"/>
    <mergeCell ref="AS25:AT25"/>
    <mergeCell ref="AU25:AV25"/>
    <mergeCell ref="U24:V24"/>
    <mergeCell ref="Y24:Z24"/>
    <mergeCell ref="AA24:AB24"/>
    <mergeCell ref="AE24:AF24"/>
    <mergeCell ref="AG24:AH24"/>
    <mergeCell ref="AK24:AL24"/>
    <mergeCell ref="AS26:AT26"/>
    <mergeCell ref="AU26:AV26"/>
    <mergeCell ref="U26:V26"/>
    <mergeCell ref="Y26:Z26"/>
    <mergeCell ref="AA26:AB26"/>
    <mergeCell ref="AE26:AF26"/>
    <mergeCell ref="AG26:AH26"/>
    <mergeCell ref="AK26:AL26"/>
  </mergeCells>
  <phoneticPr fontId="3" type="noConversion"/>
  <printOptions horizontalCentered="1"/>
  <pageMargins left="0.31496062992125984" right="0.31496062992125984" top="1.1811023622047245" bottom="0.78740157480314965" header="0.31496062992125984" footer="0.31496062992125984"/>
  <pageSetup paperSize="9" scale="7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B1:BU42"/>
  <sheetViews>
    <sheetView showGridLines="0" topLeftCell="D1" zoomScale="70" zoomScaleNormal="70" workbookViewId="0">
      <selection activeCell="AU9" sqref="AU9"/>
    </sheetView>
  </sheetViews>
  <sheetFormatPr defaultColWidth="3.77734375" defaultRowHeight="22.2"/>
  <cols>
    <col min="1" max="1" width="3.77734375" style="9"/>
    <col min="2" max="18" width="3.77734375" style="3"/>
    <col min="19" max="21" width="3.77734375" style="6"/>
    <col min="22" max="24" width="3.77734375" style="1"/>
    <col min="25" max="26" width="3.77734375" style="2"/>
    <col min="27" max="27" width="3.77734375" style="4"/>
    <col min="28" max="30" width="3.77734375" style="3"/>
    <col min="31" max="31" width="3.77734375" style="4"/>
    <col min="32" max="54" width="3.77734375" style="3"/>
    <col min="55" max="60" width="3.77734375" style="6"/>
    <col min="61" max="70" width="3.77734375" style="7"/>
    <col min="71" max="16384" width="3.77734375" style="9"/>
  </cols>
  <sheetData>
    <row r="1" spans="27:73">
      <c r="AU1" s="80"/>
      <c r="BC1" s="3"/>
      <c r="BI1" s="6"/>
      <c r="BS1" s="7"/>
    </row>
    <row r="2" spans="27:73">
      <c r="AU2" s="80"/>
      <c r="BC2" s="3"/>
      <c r="BI2" s="6"/>
      <c r="BS2" s="7"/>
    </row>
    <row r="3" spans="27:73">
      <c r="AU3" s="80"/>
      <c r="BC3" s="3"/>
      <c r="BI3" s="6"/>
      <c r="BS3" s="7"/>
    </row>
    <row r="4" spans="27:73">
      <c r="AG4" s="9"/>
      <c r="AH4" s="3" t="s">
        <v>214</v>
      </c>
      <c r="AI4" s="3" t="s">
        <v>348</v>
      </c>
      <c r="AJ4" s="5"/>
    </row>
    <row r="5" spans="27:73">
      <c r="AA5" s="69"/>
      <c r="AE5" s="69"/>
      <c r="AG5" s="9"/>
      <c r="AJ5" s="5"/>
      <c r="BT5" s="8" t="s">
        <v>2</v>
      </c>
      <c r="BU5" s="8" t="s">
        <v>3</v>
      </c>
    </row>
    <row r="6" spans="27:73">
      <c r="AA6" s="69"/>
      <c r="AE6" s="69"/>
      <c r="AG6" s="9"/>
      <c r="AH6" s="3" t="s">
        <v>20</v>
      </c>
      <c r="AI6" s="3" t="s">
        <v>349</v>
      </c>
      <c r="AJ6" s="5"/>
    </row>
    <row r="7" spans="27:73">
      <c r="AA7" s="69"/>
      <c r="AE7" s="69"/>
      <c r="AI7" s="10"/>
    </row>
    <row r="8" spans="27:73">
      <c r="AA8" s="69"/>
      <c r="AE8" s="69"/>
      <c r="AH8" s="3" t="s">
        <v>374</v>
      </c>
      <c r="AI8" s="3" t="s">
        <v>366</v>
      </c>
      <c r="AJ8" s="54">
        <v>1749</v>
      </c>
    </row>
    <row r="9" spans="27:73">
      <c r="AA9" s="69"/>
      <c r="AE9" s="69"/>
      <c r="AJ9" s="54" t="s">
        <v>4</v>
      </c>
      <c r="BT9" s="8" t="s">
        <v>8</v>
      </c>
      <c r="BU9" s="8" t="s">
        <v>3</v>
      </c>
    </row>
    <row r="10" spans="27:73">
      <c r="AA10" s="69"/>
      <c r="AE10" s="69"/>
      <c r="AH10" s="3" t="s">
        <v>368</v>
      </c>
      <c r="AI10" s="3" t="s">
        <v>367</v>
      </c>
      <c r="AJ10" s="54">
        <v>1799</v>
      </c>
    </row>
    <row r="11" spans="27:73">
      <c r="AA11" s="69"/>
      <c r="AE11" s="69"/>
      <c r="AI11" s="10"/>
      <c r="AJ11"/>
    </row>
    <row r="12" spans="27:73">
      <c r="AA12" s="69"/>
      <c r="AE12" s="3"/>
      <c r="AF12" s="5"/>
      <c r="AG12" s="54">
        <v>1778</v>
      </c>
      <c r="AH12" s="3" t="s">
        <v>371</v>
      </c>
      <c r="AI12" s="3" t="s">
        <v>366</v>
      </c>
      <c r="AJ12" s="54">
        <v>1776</v>
      </c>
      <c r="AK12" s="5"/>
    </row>
    <row r="13" spans="27:73">
      <c r="AA13" s="69"/>
      <c r="AE13" s="3"/>
      <c r="AF13" s="5"/>
      <c r="AG13" s="54" t="s">
        <v>4</v>
      </c>
      <c r="AH13" s="3" t="s">
        <v>372</v>
      </c>
      <c r="AI13" s="3" t="s">
        <v>369</v>
      </c>
      <c r="AJ13" s="54" t="s">
        <v>4</v>
      </c>
      <c r="AK13" s="5"/>
      <c r="BT13" s="8" t="s">
        <v>12</v>
      </c>
      <c r="BU13" s="8" t="s">
        <v>3</v>
      </c>
    </row>
    <row r="14" spans="27:73">
      <c r="AA14" s="69"/>
      <c r="AE14" s="3"/>
      <c r="AF14" s="5"/>
      <c r="AG14" s="54">
        <v>1840</v>
      </c>
      <c r="AH14" s="3" t="s">
        <v>373</v>
      </c>
      <c r="AI14" s="3" t="s">
        <v>370</v>
      </c>
      <c r="AJ14" s="54">
        <v>1829</v>
      </c>
      <c r="AK14" s="5"/>
    </row>
    <row r="15" spans="27:73">
      <c r="AA15" s="69"/>
      <c r="AE15" s="69"/>
      <c r="AI15" s="10"/>
    </row>
    <row r="16" spans="27:73">
      <c r="AE16" s="3"/>
      <c r="AF16" s="5">
        <v>1849</v>
      </c>
      <c r="AG16" s="3" t="s">
        <v>0</v>
      </c>
      <c r="AH16" s="3" t="s">
        <v>348</v>
      </c>
      <c r="AI16" s="3" t="s">
        <v>312</v>
      </c>
      <c r="AJ16" s="5">
        <v>1820</v>
      </c>
      <c r="AK16" s="5"/>
    </row>
    <row r="17" spans="2:73">
      <c r="AE17" s="3"/>
      <c r="AF17" s="5" t="s">
        <v>4</v>
      </c>
      <c r="AJ17" s="5" t="s">
        <v>4</v>
      </c>
      <c r="AK17" s="5"/>
      <c r="BT17" s="8" t="s">
        <v>18</v>
      </c>
      <c r="BU17" s="8" t="s">
        <v>3</v>
      </c>
    </row>
    <row r="18" spans="2:73">
      <c r="AE18" s="3"/>
      <c r="AF18" s="5">
        <v>1891</v>
      </c>
      <c r="AG18" s="3" t="s">
        <v>5</v>
      </c>
      <c r="AH18" s="3" t="s">
        <v>349</v>
      </c>
      <c r="AI18" s="3" t="s">
        <v>6</v>
      </c>
      <c r="AJ18" s="5">
        <v>1872</v>
      </c>
      <c r="AK18" s="5"/>
    </row>
    <row r="19" spans="2:73">
      <c r="AA19" s="24"/>
      <c r="AE19" s="24"/>
      <c r="AI19" s="10"/>
    </row>
    <row r="20" spans="2:73">
      <c r="S20" s="8"/>
      <c r="T20" s="8"/>
      <c r="AG20" s="5">
        <v>1872</v>
      </c>
      <c r="AH20" s="3" t="s">
        <v>110</v>
      </c>
      <c r="AI20" s="3" t="s">
        <v>312</v>
      </c>
      <c r="AJ20" s="5">
        <v>1868</v>
      </c>
      <c r="AP20" s="5"/>
      <c r="AR20" s="5"/>
      <c r="BC20" s="8"/>
      <c r="BD20" s="8"/>
    </row>
    <row r="21" spans="2:73">
      <c r="M21" s="5"/>
      <c r="P21" s="5"/>
      <c r="S21" s="8"/>
      <c r="T21" s="8"/>
      <c r="AE21" s="5"/>
      <c r="AG21" s="5" t="s">
        <v>4</v>
      </c>
      <c r="AI21" s="3" t="s">
        <v>111</v>
      </c>
      <c r="AJ21" s="5" t="s">
        <v>4</v>
      </c>
      <c r="AP21" s="5"/>
      <c r="AR21" s="5"/>
      <c r="AW21" s="5"/>
      <c r="AZ21" s="5"/>
      <c r="BC21" s="8"/>
      <c r="BD21" s="8"/>
      <c r="BT21" s="8" t="s">
        <v>37</v>
      </c>
      <c r="BU21" s="8" t="s">
        <v>3</v>
      </c>
    </row>
    <row r="22" spans="2:73">
      <c r="M22" s="5"/>
      <c r="P22" s="5"/>
      <c r="S22" s="8"/>
      <c r="T22" s="8"/>
      <c r="AE22" s="5"/>
      <c r="AG22" s="5">
        <v>1938</v>
      </c>
      <c r="AH22" s="3" t="s">
        <v>112</v>
      </c>
      <c r="AI22" s="3" t="s">
        <v>113</v>
      </c>
      <c r="AJ22" s="5">
        <v>1919</v>
      </c>
      <c r="AP22" s="5"/>
      <c r="AR22" s="5"/>
      <c r="AW22" s="5"/>
      <c r="AZ22" s="5"/>
      <c r="BC22" s="8"/>
      <c r="BD22" s="8"/>
    </row>
    <row r="23" spans="2:73">
      <c r="M23" s="5"/>
      <c r="P23" s="5"/>
      <c r="S23" s="8"/>
      <c r="T23" s="8"/>
      <c r="AE23" s="5"/>
      <c r="AI23" s="10"/>
      <c r="AW23" s="5"/>
      <c r="AZ23" s="5"/>
      <c r="BC23" s="3"/>
      <c r="BD23" s="3"/>
      <c r="BE23" s="3"/>
      <c r="BF23" s="3"/>
    </row>
    <row r="24" spans="2:73">
      <c r="N24" s="18"/>
      <c r="O24" s="13"/>
      <c r="P24" s="13"/>
      <c r="Q24" s="13"/>
      <c r="R24" s="13"/>
      <c r="S24" s="20"/>
      <c r="T24" s="20"/>
      <c r="U24" s="21"/>
      <c r="V24" s="37"/>
      <c r="W24" s="37"/>
      <c r="X24" s="37"/>
      <c r="Y24" s="12"/>
      <c r="Z24" s="12"/>
      <c r="AA24" s="14"/>
      <c r="AB24" s="13"/>
      <c r="AC24" s="13"/>
      <c r="AD24" s="13"/>
      <c r="AE24" s="14"/>
      <c r="AF24" s="13"/>
      <c r="AG24" s="13"/>
      <c r="AH24" s="30"/>
      <c r="AI24" s="18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30"/>
      <c r="BE24" s="10"/>
      <c r="BF24" s="3"/>
    </row>
    <row r="25" spans="2:73">
      <c r="L25" s="5">
        <v>1919</v>
      </c>
      <c r="M25" s="3" t="s">
        <v>114</v>
      </c>
      <c r="N25" s="3" t="s">
        <v>1</v>
      </c>
      <c r="O25" s="5">
        <v>1917</v>
      </c>
      <c r="S25" s="8"/>
      <c r="T25" s="8"/>
      <c r="AG25" s="5">
        <v>1913</v>
      </c>
      <c r="AH25" s="3" t="s">
        <v>21</v>
      </c>
      <c r="AI25" s="3" t="s">
        <v>1</v>
      </c>
      <c r="AJ25" s="5">
        <v>1909</v>
      </c>
      <c r="BA25" s="5">
        <v>1916</v>
      </c>
      <c r="BB25" s="3" t="s">
        <v>1</v>
      </c>
      <c r="BC25" s="5">
        <v>1903</v>
      </c>
      <c r="BD25" s="3" t="s">
        <v>1</v>
      </c>
      <c r="BE25" s="3" t="s">
        <v>1</v>
      </c>
      <c r="BF25" s="5">
        <v>1903</v>
      </c>
    </row>
    <row r="26" spans="2:73">
      <c r="L26" s="5" t="s">
        <v>4</v>
      </c>
      <c r="O26" s="5" t="s">
        <v>4</v>
      </c>
      <c r="S26" s="8"/>
      <c r="T26" s="8"/>
      <c r="AD26" s="4"/>
      <c r="AG26" s="5" t="s">
        <v>4</v>
      </c>
      <c r="AH26" s="3" t="s">
        <v>115</v>
      </c>
      <c r="AJ26" s="5" t="s">
        <v>4</v>
      </c>
      <c r="AK26" s="4"/>
      <c r="AM26" s="4"/>
      <c r="AP26" s="4"/>
      <c r="BA26" s="5" t="s">
        <v>4</v>
      </c>
      <c r="BB26" s="3" t="s">
        <v>116</v>
      </c>
      <c r="BC26" s="5" t="s">
        <v>4</v>
      </c>
      <c r="BD26" s="3" t="s">
        <v>21</v>
      </c>
      <c r="BE26" s="3" t="s">
        <v>117</v>
      </c>
      <c r="BF26" s="5" t="s">
        <v>4</v>
      </c>
      <c r="BT26" s="8" t="s">
        <v>64</v>
      </c>
      <c r="BU26" s="8" t="s">
        <v>3</v>
      </c>
    </row>
    <row r="27" spans="2:73">
      <c r="L27" s="5">
        <v>1980</v>
      </c>
      <c r="M27" s="3" t="s">
        <v>118</v>
      </c>
      <c r="N27" s="3" t="s">
        <v>119</v>
      </c>
      <c r="O27" s="5">
        <v>2002</v>
      </c>
      <c r="S27" s="8"/>
      <c r="T27" s="8"/>
      <c r="AG27" s="5">
        <v>1995</v>
      </c>
      <c r="AH27" s="3" t="s">
        <v>120</v>
      </c>
      <c r="AI27" s="3" t="s">
        <v>121</v>
      </c>
      <c r="AJ27" s="5">
        <v>2009</v>
      </c>
      <c r="AL27" s="116"/>
      <c r="AM27" s="116"/>
      <c r="BA27" s="5">
        <v>1993</v>
      </c>
      <c r="BB27" s="3" t="s">
        <v>122</v>
      </c>
      <c r="BC27" s="5">
        <v>1940</v>
      </c>
      <c r="BD27" s="3" t="s">
        <v>350</v>
      </c>
      <c r="BE27" s="3" t="s">
        <v>123</v>
      </c>
      <c r="BF27" s="5">
        <v>2009</v>
      </c>
    </row>
    <row r="28" spans="2:73">
      <c r="N28" s="10"/>
      <c r="S28" s="8"/>
      <c r="T28" s="8"/>
      <c r="AI28" s="10"/>
      <c r="BC28" s="8"/>
      <c r="BD28" s="8"/>
      <c r="BE28" s="38"/>
    </row>
    <row r="29" spans="2:73">
      <c r="F29" s="18"/>
      <c r="G29" s="13"/>
      <c r="H29" s="13"/>
      <c r="I29" s="13"/>
      <c r="J29" s="18"/>
      <c r="K29" s="13"/>
      <c r="L29" s="30"/>
      <c r="M29" s="18"/>
      <c r="N29" s="13"/>
      <c r="O29" s="13"/>
      <c r="P29" s="18"/>
      <c r="Q29" s="13"/>
      <c r="R29" s="13"/>
      <c r="S29" s="18"/>
      <c r="T29" s="20"/>
      <c r="U29" s="21"/>
      <c r="V29" s="39"/>
      <c r="W29" s="15"/>
      <c r="Z29" s="3"/>
      <c r="AA29" s="18"/>
      <c r="AB29" s="13"/>
      <c r="AC29" s="13"/>
      <c r="AD29" s="30"/>
      <c r="AE29" s="18"/>
      <c r="AF29" s="13"/>
      <c r="AG29" s="13"/>
      <c r="AH29" s="30"/>
      <c r="AI29" s="18"/>
      <c r="AJ29" s="13"/>
      <c r="AK29" s="13"/>
      <c r="AL29" s="13"/>
      <c r="AM29" s="18"/>
      <c r="AN29" s="13"/>
      <c r="AO29" s="13"/>
      <c r="AP29" s="30"/>
      <c r="AQ29" s="10"/>
      <c r="AS29" s="18"/>
      <c r="AT29" s="13"/>
      <c r="AU29" s="13"/>
      <c r="AV29" s="18"/>
      <c r="AW29" s="13"/>
      <c r="AX29" s="13"/>
      <c r="AY29" s="18"/>
      <c r="AZ29" s="13"/>
      <c r="BA29" s="13"/>
      <c r="BB29" s="13"/>
      <c r="BC29" s="20"/>
      <c r="BD29" s="20"/>
      <c r="BE29" s="21"/>
      <c r="BF29" s="21"/>
      <c r="BG29" s="13"/>
      <c r="BH29" s="18"/>
      <c r="BI29" s="22"/>
      <c r="BJ29" s="22"/>
      <c r="BK29" s="22"/>
      <c r="BL29" s="22"/>
      <c r="BM29" s="22"/>
      <c r="BN29" s="22"/>
      <c r="BO29" s="30"/>
      <c r="BP29" s="10"/>
    </row>
    <row r="30" spans="2:73">
      <c r="E30" s="116" t="s">
        <v>1</v>
      </c>
      <c r="F30" s="116"/>
      <c r="I30" s="116" t="s">
        <v>1</v>
      </c>
      <c r="J30" s="116"/>
      <c r="L30" s="116" t="s">
        <v>1</v>
      </c>
      <c r="M30" s="116"/>
      <c r="O30" s="116" t="s">
        <v>1</v>
      </c>
      <c r="P30" s="116"/>
      <c r="R30" s="116" t="s">
        <v>1</v>
      </c>
      <c r="S30" s="116"/>
      <c r="T30" s="8"/>
      <c r="U30" s="2"/>
      <c r="V30" s="116" t="s">
        <v>1</v>
      </c>
      <c r="W30" s="116"/>
      <c r="X30" s="3"/>
      <c r="Z30" s="116" t="s">
        <v>1</v>
      </c>
      <c r="AA30" s="116"/>
      <c r="AD30" s="116" t="s">
        <v>1</v>
      </c>
      <c r="AE30" s="116"/>
      <c r="AH30" s="116" t="s">
        <v>1</v>
      </c>
      <c r="AI30" s="116"/>
      <c r="AL30" s="116" t="s">
        <v>1</v>
      </c>
      <c r="AM30" s="116"/>
      <c r="AP30" s="116" t="s">
        <v>1</v>
      </c>
      <c r="AQ30" s="116"/>
      <c r="AR30" s="116" t="s">
        <v>1</v>
      </c>
      <c r="AS30" s="116"/>
      <c r="AT30" s="80">
        <v>1951</v>
      </c>
      <c r="AU30" s="116" t="s">
        <v>1</v>
      </c>
      <c r="AV30" s="116"/>
      <c r="AW30" s="80">
        <v>1949</v>
      </c>
      <c r="AX30" s="116" t="s">
        <v>1</v>
      </c>
      <c r="AY30" s="116"/>
      <c r="AZ30" s="80">
        <v>1946</v>
      </c>
      <c r="BC30" s="8"/>
      <c r="BD30" s="8"/>
      <c r="BG30" s="116" t="s">
        <v>1</v>
      </c>
      <c r="BH30" s="116"/>
      <c r="BI30" s="80">
        <v>1925</v>
      </c>
      <c r="BO30" s="116" t="s">
        <v>1</v>
      </c>
      <c r="BP30" s="116"/>
      <c r="BQ30" s="80">
        <v>1922</v>
      </c>
    </row>
    <row r="31" spans="2:73">
      <c r="E31" s="116" t="s">
        <v>124</v>
      </c>
      <c r="F31" s="116"/>
      <c r="I31" s="116" t="s">
        <v>125</v>
      </c>
      <c r="J31" s="116"/>
      <c r="L31" s="116" t="s">
        <v>126</v>
      </c>
      <c r="M31" s="116"/>
      <c r="O31" s="116" t="s">
        <v>127</v>
      </c>
      <c r="P31" s="116"/>
      <c r="R31" s="116" t="s">
        <v>128</v>
      </c>
      <c r="S31" s="116"/>
      <c r="T31" s="8"/>
      <c r="U31" s="2"/>
      <c r="V31" s="116" t="s">
        <v>129</v>
      </c>
      <c r="W31" s="116"/>
      <c r="X31" s="4"/>
      <c r="Z31" s="116" t="s">
        <v>75</v>
      </c>
      <c r="AA31" s="116"/>
      <c r="AB31" s="4"/>
      <c r="AD31" s="116" t="s">
        <v>130</v>
      </c>
      <c r="AE31" s="116"/>
      <c r="AH31" s="116" t="s">
        <v>41</v>
      </c>
      <c r="AI31" s="116"/>
      <c r="AL31" s="116" t="s">
        <v>131</v>
      </c>
      <c r="AM31" s="116"/>
      <c r="AP31" s="116" t="s">
        <v>131</v>
      </c>
      <c r="AQ31" s="116"/>
      <c r="AR31" s="116" t="s">
        <v>130</v>
      </c>
      <c r="AS31" s="116"/>
      <c r="AT31" s="80" t="s">
        <v>4</v>
      </c>
      <c r="AU31" s="116" t="s">
        <v>130</v>
      </c>
      <c r="AV31" s="116"/>
      <c r="AX31" s="116" t="s">
        <v>130</v>
      </c>
      <c r="AY31" s="116"/>
      <c r="BC31" s="8"/>
      <c r="BD31" s="8"/>
      <c r="BG31" s="116" t="s">
        <v>132</v>
      </c>
      <c r="BH31" s="116"/>
      <c r="BI31" s="80" t="s">
        <v>4</v>
      </c>
      <c r="BO31" s="116"/>
      <c r="BP31" s="116"/>
      <c r="BQ31" s="80" t="s">
        <v>4</v>
      </c>
      <c r="BT31" s="8" t="s">
        <v>93</v>
      </c>
      <c r="BU31" s="8" t="s">
        <v>3</v>
      </c>
    </row>
    <row r="32" spans="2:73" s="25" customFormat="1">
      <c r="B32" s="3"/>
      <c r="C32" s="3"/>
      <c r="D32" s="3"/>
      <c r="E32" s="116" t="s">
        <v>133</v>
      </c>
      <c r="F32" s="116"/>
      <c r="G32" s="3"/>
      <c r="H32" s="3"/>
      <c r="I32" s="116" t="s">
        <v>134</v>
      </c>
      <c r="J32" s="116"/>
      <c r="K32" s="3"/>
      <c r="L32" s="116" t="s">
        <v>135</v>
      </c>
      <c r="M32" s="116"/>
      <c r="N32" s="3"/>
      <c r="O32" s="116" t="s">
        <v>136</v>
      </c>
      <c r="P32" s="116"/>
      <c r="Q32" s="3"/>
      <c r="R32" s="116" t="s">
        <v>137</v>
      </c>
      <c r="S32" s="116"/>
      <c r="T32" s="8"/>
      <c r="U32" s="2"/>
      <c r="V32" s="116" t="s">
        <v>138</v>
      </c>
      <c r="W32" s="116"/>
      <c r="X32" s="4"/>
      <c r="Y32" s="2"/>
      <c r="Z32" s="116" t="s">
        <v>139</v>
      </c>
      <c r="AA32" s="116"/>
      <c r="AB32" s="4"/>
      <c r="AC32" s="3"/>
      <c r="AD32" s="116" t="s">
        <v>12</v>
      </c>
      <c r="AE32" s="116"/>
      <c r="AF32" s="3"/>
      <c r="AG32" s="3"/>
      <c r="AH32" s="116" t="s">
        <v>140</v>
      </c>
      <c r="AI32" s="116"/>
      <c r="AJ32" s="3"/>
      <c r="AK32" s="3"/>
      <c r="AL32" s="116" t="s">
        <v>141</v>
      </c>
      <c r="AM32" s="116"/>
      <c r="AN32" s="3"/>
      <c r="AO32" s="3"/>
      <c r="AP32" s="116" t="s">
        <v>142</v>
      </c>
      <c r="AQ32" s="116"/>
      <c r="AR32" s="116" t="s">
        <v>143</v>
      </c>
      <c r="AS32" s="116"/>
      <c r="AT32" s="80">
        <v>1973</v>
      </c>
      <c r="AU32" s="116" t="s">
        <v>144</v>
      </c>
      <c r="AV32" s="116"/>
      <c r="AW32" s="3"/>
      <c r="AX32" s="116" t="s">
        <v>43</v>
      </c>
      <c r="AY32" s="116"/>
      <c r="AZ32" s="3"/>
      <c r="BA32" s="3"/>
      <c r="BB32" s="3"/>
      <c r="BC32" s="8"/>
      <c r="BD32" s="8"/>
      <c r="BE32" s="26"/>
      <c r="BF32" s="26"/>
      <c r="BG32" s="116" t="s">
        <v>145</v>
      </c>
      <c r="BH32" s="116"/>
      <c r="BI32" s="80">
        <v>2014</v>
      </c>
      <c r="BJ32" s="27"/>
      <c r="BK32" s="27"/>
      <c r="BL32" s="27"/>
      <c r="BM32" s="27"/>
      <c r="BN32" s="27"/>
      <c r="BO32" s="116" t="s">
        <v>146</v>
      </c>
      <c r="BP32" s="116"/>
      <c r="BQ32" s="80">
        <v>1988</v>
      </c>
      <c r="BR32" s="27"/>
    </row>
    <row r="33" spans="2:73" s="25" customFormat="1">
      <c r="B33" s="3"/>
      <c r="C33" s="3"/>
      <c r="D33" s="3"/>
      <c r="E33" s="3"/>
      <c r="F33" s="10"/>
      <c r="G33" s="3"/>
      <c r="H33" s="3"/>
      <c r="I33" s="3"/>
      <c r="J33" s="10"/>
      <c r="K33" s="3"/>
      <c r="L33" s="9"/>
      <c r="M33" s="31"/>
      <c r="N33" s="3"/>
      <c r="O33" s="3"/>
      <c r="P33" s="10"/>
      <c r="Q33" s="3"/>
      <c r="R33" s="9"/>
      <c r="S33" s="31"/>
      <c r="T33" s="8"/>
      <c r="U33" s="3"/>
      <c r="V33" s="3"/>
      <c r="W33" s="10"/>
      <c r="X33" s="3"/>
      <c r="Y33" s="3"/>
      <c r="Z33" s="3"/>
      <c r="AA33" s="10"/>
      <c r="AB33" s="3"/>
      <c r="AC33" s="3"/>
      <c r="AD33" s="3"/>
      <c r="AE33" s="10"/>
      <c r="AF33" s="3"/>
      <c r="AG33" s="3"/>
      <c r="AH33" s="3"/>
      <c r="AI33" s="10"/>
      <c r="AJ33" s="3"/>
      <c r="AK33" s="3"/>
      <c r="AL33" s="3"/>
      <c r="AM33" s="10"/>
      <c r="AN33" s="3"/>
      <c r="AO33" s="3"/>
      <c r="AP33" s="9"/>
      <c r="AQ33" s="31"/>
      <c r="AR33" s="3"/>
      <c r="AS33" s="3"/>
      <c r="AT33" s="3"/>
      <c r="AU33" s="9"/>
      <c r="AV33" s="31"/>
      <c r="AW33" s="3"/>
      <c r="AX33" s="3"/>
      <c r="AY33" s="10"/>
      <c r="AZ33" s="3"/>
      <c r="BA33" s="3"/>
      <c r="BB33" s="3"/>
      <c r="BC33" s="8"/>
      <c r="BD33" s="8"/>
      <c r="BE33" s="26"/>
      <c r="BF33" s="26"/>
      <c r="BG33" s="26"/>
      <c r="BH33" s="40"/>
      <c r="BI33" s="27"/>
      <c r="BJ33" s="27"/>
      <c r="BK33" s="27"/>
      <c r="BL33" s="27"/>
      <c r="BM33" s="27"/>
      <c r="BN33" s="27"/>
      <c r="BO33" s="27"/>
      <c r="BP33" s="41"/>
      <c r="BQ33" s="27"/>
      <c r="BR33" s="27"/>
    </row>
    <row r="34" spans="2:73">
      <c r="D34" s="18"/>
      <c r="E34" s="13"/>
      <c r="F34" s="13"/>
      <c r="G34" s="10"/>
      <c r="I34" s="18"/>
      <c r="J34" s="13"/>
      <c r="K34" s="10"/>
      <c r="L34" s="6"/>
      <c r="M34" s="10"/>
      <c r="O34" s="18"/>
      <c r="P34" s="13"/>
      <c r="Q34" s="10"/>
      <c r="R34" s="6"/>
      <c r="S34" s="10"/>
      <c r="T34" s="8"/>
      <c r="U34" s="3"/>
      <c r="V34" s="18"/>
      <c r="W34" s="13"/>
      <c r="X34" s="10"/>
      <c r="Y34" s="3"/>
      <c r="Z34" s="18"/>
      <c r="AA34" s="13"/>
      <c r="AB34" s="10"/>
      <c r="AD34" s="18"/>
      <c r="AE34" s="13"/>
      <c r="AF34" s="10"/>
      <c r="AH34" s="18"/>
      <c r="AI34" s="13"/>
      <c r="AJ34" s="10"/>
      <c r="AL34" s="18"/>
      <c r="AM34" s="13"/>
      <c r="AN34" s="10"/>
      <c r="AP34" s="6"/>
      <c r="AQ34" s="10"/>
      <c r="AU34" s="6"/>
      <c r="AV34" s="10"/>
      <c r="AX34" s="18"/>
      <c r="AY34" s="13"/>
      <c r="AZ34" s="10"/>
      <c r="BC34" s="8"/>
      <c r="BD34" s="42"/>
      <c r="BE34" s="21"/>
      <c r="BF34" s="21"/>
      <c r="BG34" s="20"/>
      <c r="BH34" s="42"/>
      <c r="BI34" s="22"/>
      <c r="BJ34" s="43"/>
      <c r="BK34" s="44"/>
      <c r="BN34" s="45"/>
      <c r="BO34" s="13"/>
      <c r="BP34" s="18"/>
      <c r="BQ34" s="46"/>
      <c r="BR34" s="47"/>
    </row>
    <row r="35" spans="2:73">
      <c r="C35" s="116" t="s">
        <v>1</v>
      </c>
      <c r="D35" s="116"/>
      <c r="F35" s="116" t="s">
        <v>1</v>
      </c>
      <c r="G35" s="116"/>
      <c r="H35" s="116" t="s">
        <v>1</v>
      </c>
      <c r="I35" s="116"/>
      <c r="J35" s="116" t="s">
        <v>1</v>
      </c>
      <c r="K35" s="116"/>
      <c r="L35" s="116" t="s">
        <v>1</v>
      </c>
      <c r="M35" s="116"/>
      <c r="N35" s="116" t="s">
        <v>1</v>
      </c>
      <c r="O35" s="116"/>
      <c r="P35" s="116" t="s">
        <v>1</v>
      </c>
      <c r="Q35" s="116"/>
      <c r="R35" s="116" t="s">
        <v>1</v>
      </c>
      <c r="S35" s="116"/>
      <c r="T35" s="8"/>
      <c r="U35" s="116" t="s">
        <v>1</v>
      </c>
      <c r="V35" s="116"/>
      <c r="W35" s="116" t="s">
        <v>1</v>
      </c>
      <c r="X35" s="116"/>
      <c r="Y35" s="116" t="s">
        <v>1</v>
      </c>
      <c r="Z35" s="116"/>
      <c r="AA35" s="116" t="s">
        <v>1</v>
      </c>
      <c r="AB35" s="116"/>
      <c r="AC35" s="116" t="s">
        <v>1</v>
      </c>
      <c r="AD35" s="116"/>
      <c r="AE35" s="116" t="s">
        <v>1</v>
      </c>
      <c r="AF35" s="116"/>
      <c r="AG35" s="116" t="s">
        <v>1</v>
      </c>
      <c r="AH35" s="116"/>
      <c r="AI35" s="116" t="s">
        <v>1</v>
      </c>
      <c r="AJ35" s="116"/>
      <c r="AK35" s="116" t="s">
        <v>1</v>
      </c>
      <c r="AL35" s="116"/>
      <c r="AM35" s="116" t="s">
        <v>1</v>
      </c>
      <c r="AN35" s="116"/>
      <c r="AP35" s="116" t="s">
        <v>1</v>
      </c>
      <c r="AQ35" s="116"/>
      <c r="AU35" s="116" t="s">
        <v>1</v>
      </c>
      <c r="AV35" s="116"/>
      <c r="AW35" s="116" t="s">
        <v>1</v>
      </c>
      <c r="AX35" s="116"/>
      <c r="AY35" s="116" t="s">
        <v>1</v>
      </c>
      <c r="AZ35" s="116"/>
      <c r="BC35" s="116" t="s">
        <v>1</v>
      </c>
      <c r="BD35" s="116"/>
      <c r="BG35" s="116" t="s">
        <v>1</v>
      </c>
      <c r="BH35" s="116"/>
      <c r="BJ35" s="116" t="s">
        <v>1</v>
      </c>
      <c r="BK35" s="116"/>
      <c r="BM35" s="116" t="s">
        <v>1</v>
      </c>
      <c r="BN35" s="116"/>
      <c r="BO35" s="116" t="s">
        <v>1</v>
      </c>
      <c r="BP35" s="116"/>
      <c r="BQ35" s="116" t="s">
        <v>1</v>
      </c>
      <c r="BR35" s="116"/>
      <c r="BS35" s="7"/>
    </row>
    <row r="36" spans="2:73">
      <c r="C36" s="116" t="s">
        <v>147</v>
      </c>
      <c r="D36" s="116"/>
      <c r="F36" s="116" t="s">
        <v>40</v>
      </c>
      <c r="G36" s="116"/>
      <c r="H36" s="116" t="s">
        <v>148</v>
      </c>
      <c r="I36" s="116"/>
      <c r="J36" s="116" t="s">
        <v>148</v>
      </c>
      <c r="K36" s="116"/>
      <c r="L36" s="116" t="s">
        <v>149</v>
      </c>
      <c r="M36" s="116"/>
      <c r="N36" s="116" t="s">
        <v>150</v>
      </c>
      <c r="O36" s="116"/>
      <c r="P36" s="116" t="s">
        <v>150</v>
      </c>
      <c r="Q36" s="116"/>
      <c r="R36" s="116" t="s">
        <v>151</v>
      </c>
      <c r="S36" s="116"/>
      <c r="T36" s="8"/>
      <c r="U36" s="116" t="s">
        <v>152</v>
      </c>
      <c r="V36" s="116"/>
      <c r="W36" s="116" t="s">
        <v>76</v>
      </c>
      <c r="X36" s="116"/>
      <c r="Y36" s="116" t="s">
        <v>153</v>
      </c>
      <c r="Z36" s="116"/>
      <c r="AA36" s="116" t="s">
        <v>154</v>
      </c>
      <c r="AB36" s="116"/>
      <c r="AC36" s="116" t="s">
        <v>150</v>
      </c>
      <c r="AD36" s="116"/>
      <c r="AE36" s="116" t="s">
        <v>155</v>
      </c>
      <c r="AF36" s="116"/>
      <c r="AG36" s="116" t="s">
        <v>156</v>
      </c>
      <c r="AH36" s="116"/>
      <c r="AI36" s="116" t="s">
        <v>156</v>
      </c>
      <c r="AJ36" s="116"/>
      <c r="AK36" s="116" t="s">
        <v>50</v>
      </c>
      <c r="AL36" s="116"/>
      <c r="AM36" s="116" t="s">
        <v>157</v>
      </c>
      <c r="AN36" s="116"/>
      <c r="AP36" s="116" t="s">
        <v>76</v>
      </c>
      <c r="AQ36" s="116"/>
      <c r="AU36" s="116" t="s">
        <v>158</v>
      </c>
      <c r="AV36" s="116"/>
      <c r="AW36" s="116" t="s">
        <v>159</v>
      </c>
      <c r="AX36" s="116"/>
      <c r="AY36" s="116" t="s">
        <v>160</v>
      </c>
      <c r="AZ36" s="116"/>
      <c r="BC36" s="116" t="s">
        <v>161</v>
      </c>
      <c r="BD36" s="116"/>
      <c r="BG36" s="116" t="s">
        <v>161</v>
      </c>
      <c r="BH36" s="116"/>
      <c r="BJ36" s="116" t="s">
        <v>161</v>
      </c>
      <c r="BK36" s="116"/>
      <c r="BM36" s="116" t="s">
        <v>95</v>
      </c>
      <c r="BN36" s="116"/>
      <c r="BO36" s="116" t="s">
        <v>95</v>
      </c>
      <c r="BP36" s="116"/>
      <c r="BQ36" s="116" t="s">
        <v>95</v>
      </c>
      <c r="BR36" s="116"/>
      <c r="BS36" s="7"/>
      <c r="BT36" s="8" t="s">
        <v>304</v>
      </c>
      <c r="BU36" s="8" t="s">
        <v>3</v>
      </c>
    </row>
    <row r="37" spans="2:73">
      <c r="C37" s="116" t="s">
        <v>162</v>
      </c>
      <c r="D37" s="116"/>
      <c r="F37" s="116" t="s">
        <v>163</v>
      </c>
      <c r="G37" s="116"/>
      <c r="H37" s="116" t="s">
        <v>164</v>
      </c>
      <c r="I37" s="116"/>
      <c r="J37" s="116" t="s">
        <v>165</v>
      </c>
      <c r="K37" s="116"/>
      <c r="L37" s="116" t="s">
        <v>166</v>
      </c>
      <c r="M37" s="116"/>
      <c r="N37" s="116" t="s">
        <v>167</v>
      </c>
      <c r="O37" s="116"/>
      <c r="P37" s="116" t="s">
        <v>168</v>
      </c>
      <c r="Q37" s="116"/>
      <c r="R37" s="116" t="s">
        <v>169</v>
      </c>
      <c r="S37" s="116"/>
      <c r="U37" s="116" t="s">
        <v>106</v>
      </c>
      <c r="V37" s="116"/>
      <c r="W37" s="116" t="s">
        <v>170</v>
      </c>
      <c r="X37" s="116"/>
      <c r="Y37" s="116" t="s">
        <v>171</v>
      </c>
      <c r="Z37" s="116"/>
      <c r="AA37" s="116" t="s">
        <v>172</v>
      </c>
      <c r="AB37" s="116"/>
      <c r="AC37" s="116" t="s">
        <v>173</v>
      </c>
      <c r="AD37" s="116"/>
      <c r="AE37" s="116" t="s">
        <v>76</v>
      </c>
      <c r="AF37" s="116"/>
      <c r="AG37" s="116" t="s">
        <v>174</v>
      </c>
      <c r="AH37" s="116"/>
      <c r="AI37" s="116" t="s">
        <v>175</v>
      </c>
      <c r="AJ37" s="116"/>
      <c r="AK37" s="116" t="s">
        <v>176</v>
      </c>
      <c r="AL37" s="116"/>
      <c r="AM37" s="116" t="s">
        <v>177</v>
      </c>
      <c r="AN37" s="116"/>
      <c r="AP37" s="116" t="s">
        <v>178</v>
      </c>
      <c r="AQ37" s="116"/>
      <c r="AU37" s="116" t="s">
        <v>179</v>
      </c>
      <c r="AV37" s="116"/>
      <c r="AW37" s="116" t="s">
        <v>180</v>
      </c>
      <c r="AX37" s="116"/>
      <c r="AY37" s="116" t="s">
        <v>181</v>
      </c>
      <c r="AZ37" s="116"/>
      <c r="BC37" s="116" t="s">
        <v>182</v>
      </c>
      <c r="BD37" s="116"/>
      <c r="BG37" s="116" t="s">
        <v>183</v>
      </c>
      <c r="BH37" s="116"/>
      <c r="BJ37" s="116" t="s">
        <v>166</v>
      </c>
      <c r="BK37" s="116"/>
      <c r="BM37" s="116" t="s">
        <v>184</v>
      </c>
      <c r="BN37" s="116"/>
      <c r="BO37" s="116" t="s">
        <v>185</v>
      </c>
      <c r="BP37" s="116"/>
      <c r="BQ37" s="116" t="s">
        <v>58</v>
      </c>
      <c r="BR37" s="116"/>
      <c r="BS37" s="7"/>
    </row>
    <row r="38" spans="2:73">
      <c r="D38" s="10"/>
      <c r="F38" s="9"/>
      <c r="G38" s="31"/>
      <c r="J38" s="9"/>
      <c r="K38" s="31"/>
      <c r="S38" s="10"/>
      <c r="T38" s="3"/>
      <c r="AD38" s="10"/>
      <c r="AE38" s="3"/>
      <c r="AG38" s="9"/>
      <c r="AH38" s="31"/>
      <c r="AN38" s="10"/>
      <c r="AP38" s="6"/>
      <c r="AQ38" s="36"/>
      <c r="AY38" s="6"/>
      <c r="AZ38" s="36"/>
      <c r="BD38" s="38"/>
      <c r="BI38" s="3"/>
      <c r="BJ38" s="3"/>
      <c r="BK38" s="10"/>
      <c r="BL38" s="3"/>
      <c r="BM38" s="6"/>
      <c r="BN38" s="36"/>
      <c r="BQ38" s="3"/>
      <c r="BR38" s="10"/>
      <c r="BS38" s="3"/>
    </row>
    <row r="39" spans="2:73">
      <c r="C39" s="18"/>
      <c r="D39" s="13"/>
      <c r="E39" s="10"/>
      <c r="F39" s="6"/>
      <c r="G39" s="10"/>
      <c r="J39" s="6"/>
      <c r="K39" s="10"/>
      <c r="R39" s="18"/>
      <c r="S39" s="13"/>
      <c r="T39" s="10"/>
      <c r="AC39" s="18"/>
      <c r="AD39" s="13"/>
      <c r="AE39" s="10"/>
      <c r="AG39" s="6"/>
      <c r="AH39" s="10"/>
      <c r="AM39" s="18"/>
      <c r="AN39" s="13"/>
      <c r="AO39" s="10"/>
      <c r="AP39" s="6"/>
      <c r="AQ39" s="10"/>
      <c r="AY39" s="6"/>
      <c r="AZ39" s="10"/>
      <c r="BB39" s="18"/>
      <c r="BC39" s="21"/>
      <c r="BD39" s="48"/>
      <c r="BE39" s="33"/>
      <c r="BF39" s="36"/>
      <c r="BI39" s="3"/>
      <c r="BJ39" s="18"/>
      <c r="BK39" s="13"/>
      <c r="BL39" s="10"/>
      <c r="BM39" s="6"/>
      <c r="BN39" s="10"/>
      <c r="BQ39" s="18"/>
      <c r="BR39" s="13"/>
      <c r="BS39" s="10"/>
    </row>
    <row r="40" spans="2:73" s="25" customFormat="1">
      <c r="B40" s="116" t="s">
        <v>1</v>
      </c>
      <c r="C40" s="116"/>
      <c r="D40" s="116" t="s">
        <v>1</v>
      </c>
      <c r="E40" s="116"/>
      <c r="F40" s="116" t="s">
        <v>1</v>
      </c>
      <c r="G40" s="116"/>
      <c r="H40" s="3"/>
      <c r="I40" s="3"/>
      <c r="J40" s="116" t="s">
        <v>1</v>
      </c>
      <c r="K40" s="116"/>
      <c r="L40" s="3"/>
      <c r="M40" s="3"/>
      <c r="N40" s="3"/>
      <c r="O40" s="3"/>
      <c r="P40" s="3"/>
      <c r="Q40" s="116" t="s">
        <v>1</v>
      </c>
      <c r="R40" s="116"/>
      <c r="S40" s="116" t="s">
        <v>1</v>
      </c>
      <c r="T40" s="116"/>
      <c r="U40" s="26"/>
      <c r="V40" s="1"/>
      <c r="W40" s="1"/>
      <c r="X40" s="1"/>
      <c r="Y40" s="2"/>
      <c r="Z40" s="2"/>
      <c r="AA40" s="4"/>
      <c r="AB40" s="116" t="s">
        <v>1</v>
      </c>
      <c r="AC40" s="116"/>
      <c r="AD40" s="116" t="s">
        <v>1</v>
      </c>
      <c r="AE40" s="116"/>
      <c r="AF40" s="3"/>
      <c r="AG40" s="116" t="s">
        <v>1</v>
      </c>
      <c r="AH40" s="116"/>
      <c r="AI40" s="3"/>
      <c r="AJ40" s="3"/>
      <c r="AK40" s="3"/>
      <c r="AL40" s="116" t="s">
        <v>1</v>
      </c>
      <c r="AM40" s="116"/>
      <c r="AN40" s="116" t="s">
        <v>1</v>
      </c>
      <c r="AO40" s="116"/>
      <c r="AP40" s="116" t="s">
        <v>1</v>
      </c>
      <c r="AQ40" s="116"/>
      <c r="AR40" s="3"/>
      <c r="AS40" s="3"/>
      <c r="AT40" s="3"/>
      <c r="AU40" s="3"/>
      <c r="AV40" s="3"/>
      <c r="AW40" s="3"/>
      <c r="AX40" s="3"/>
      <c r="AY40" s="116" t="s">
        <v>1</v>
      </c>
      <c r="AZ40" s="116"/>
      <c r="BA40" s="116" t="s">
        <v>1</v>
      </c>
      <c r="BB40" s="116"/>
      <c r="BC40" s="116" t="s">
        <v>1</v>
      </c>
      <c r="BD40" s="116"/>
      <c r="BE40" s="116" t="s">
        <v>1</v>
      </c>
      <c r="BF40" s="116"/>
      <c r="BG40" s="26"/>
      <c r="BH40" s="26"/>
      <c r="BI40" s="116" t="s">
        <v>1</v>
      </c>
      <c r="BJ40" s="116"/>
      <c r="BK40" s="116" t="s">
        <v>1</v>
      </c>
      <c r="BL40" s="116"/>
      <c r="BM40" s="116" t="s">
        <v>1</v>
      </c>
      <c r="BN40" s="116"/>
      <c r="BO40" s="27"/>
      <c r="BP40" s="116" t="s">
        <v>1</v>
      </c>
      <c r="BQ40" s="116"/>
      <c r="BR40" s="116" t="s">
        <v>1</v>
      </c>
      <c r="BS40" s="116"/>
    </row>
    <row r="41" spans="2:73" s="25" customFormat="1">
      <c r="B41" s="116" t="s">
        <v>186</v>
      </c>
      <c r="C41" s="116"/>
      <c r="D41" s="116" t="s">
        <v>42</v>
      </c>
      <c r="E41" s="116"/>
      <c r="F41" s="116" t="s">
        <v>187</v>
      </c>
      <c r="G41" s="116"/>
      <c r="H41" s="3"/>
      <c r="I41" s="3"/>
      <c r="J41" s="116" t="s">
        <v>188</v>
      </c>
      <c r="K41" s="116"/>
      <c r="L41" s="3"/>
      <c r="M41" s="3"/>
      <c r="N41" s="3"/>
      <c r="O41" s="3"/>
      <c r="P41" s="3"/>
      <c r="Q41" s="116" t="s">
        <v>111</v>
      </c>
      <c r="R41" s="116"/>
      <c r="S41" s="116" t="s">
        <v>89</v>
      </c>
      <c r="T41" s="116"/>
      <c r="U41" s="26"/>
      <c r="V41" s="1"/>
      <c r="W41" s="1"/>
      <c r="X41" s="1"/>
      <c r="Y41" s="2"/>
      <c r="Z41" s="2"/>
      <c r="AA41" s="4"/>
      <c r="AB41" s="116" t="s">
        <v>189</v>
      </c>
      <c r="AC41" s="116"/>
      <c r="AD41" s="116" t="s">
        <v>189</v>
      </c>
      <c r="AE41" s="116"/>
      <c r="AF41" s="3"/>
      <c r="AG41" s="116" t="s">
        <v>190</v>
      </c>
      <c r="AH41" s="116"/>
      <c r="AI41" s="3"/>
      <c r="AJ41" s="3"/>
      <c r="AK41" s="3"/>
      <c r="AL41" s="116" t="s">
        <v>191</v>
      </c>
      <c r="AM41" s="116"/>
      <c r="AN41" s="116" t="s">
        <v>192</v>
      </c>
      <c r="AO41" s="116"/>
      <c r="AP41" s="116" t="s">
        <v>193</v>
      </c>
      <c r="AQ41" s="116"/>
      <c r="AR41" s="3"/>
      <c r="AS41" s="3"/>
      <c r="AT41" s="3"/>
      <c r="AU41" s="3"/>
      <c r="AV41" s="3"/>
      <c r="AW41" s="3"/>
      <c r="AX41" s="3"/>
      <c r="AY41" s="116" t="s">
        <v>194</v>
      </c>
      <c r="AZ41" s="116"/>
      <c r="BA41" s="116" t="s">
        <v>191</v>
      </c>
      <c r="BB41" s="116"/>
      <c r="BC41" s="116" t="s">
        <v>191</v>
      </c>
      <c r="BD41" s="116"/>
      <c r="BE41" s="116" t="s">
        <v>191</v>
      </c>
      <c r="BF41" s="116"/>
      <c r="BG41" s="26"/>
      <c r="BH41" s="26"/>
      <c r="BI41" s="116" t="s">
        <v>154</v>
      </c>
      <c r="BJ41" s="116"/>
      <c r="BK41" s="116" t="s">
        <v>41</v>
      </c>
      <c r="BL41" s="116"/>
      <c r="BM41" s="116" t="s">
        <v>195</v>
      </c>
      <c r="BN41" s="116"/>
      <c r="BO41" s="27"/>
      <c r="BP41" s="119" t="s">
        <v>196</v>
      </c>
      <c r="BQ41" s="116"/>
      <c r="BR41" s="119" t="s">
        <v>196</v>
      </c>
      <c r="BS41" s="116"/>
      <c r="BT41" s="8" t="s">
        <v>307</v>
      </c>
      <c r="BU41" s="8" t="s">
        <v>3</v>
      </c>
    </row>
    <row r="42" spans="2:73">
      <c r="B42" s="116" t="s">
        <v>153</v>
      </c>
      <c r="C42" s="116"/>
      <c r="D42" s="116" t="s">
        <v>197</v>
      </c>
      <c r="E42" s="116"/>
      <c r="F42" s="116" t="s">
        <v>198</v>
      </c>
      <c r="G42" s="116"/>
      <c r="J42" s="116" t="s">
        <v>199</v>
      </c>
      <c r="K42" s="116"/>
      <c r="Q42" s="116" t="s">
        <v>96</v>
      </c>
      <c r="R42" s="116"/>
      <c r="S42" s="116" t="s">
        <v>70</v>
      </c>
      <c r="T42" s="116"/>
      <c r="AB42" s="116" t="s">
        <v>60</v>
      </c>
      <c r="AC42" s="116"/>
      <c r="AD42" s="116" t="s">
        <v>200</v>
      </c>
      <c r="AE42" s="116"/>
      <c r="AG42" s="116" t="s">
        <v>201</v>
      </c>
      <c r="AH42" s="116"/>
      <c r="AL42" s="116" t="s">
        <v>202</v>
      </c>
      <c r="AM42" s="116"/>
      <c r="AN42" s="116" t="s">
        <v>202</v>
      </c>
      <c r="AO42" s="116"/>
      <c r="AP42" s="116" t="s">
        <v>203</v>
      </c>
      <c r="AQ42" s="116"/>
      <c r="AY42" s="116" t="s">
        <v>204</v>
      </c>
      <c r="AZ42" s="116"/>
      <c r="BA42" s="116" t="s">
        <v>205</v>
      </c>
      <c r="BB42" s="116"/>
      <c r="BC42" s="116" t="s">
        <v>69</v>
      </c>
      <c r="BD42" s="116"/>
      <c r="BE42" s="116" t="s">
        <v>63</v>
      </c>
      <c r="BF42" s="116"/>
      <c r="BI42" s="116" t="s">
        <v>206</v>
      </c>
      <c r="BJ42" s="116"/>
      <c r="BK42" s="116" t="s">
        <v>206</v>
      </c>
      <c r="BL42" s="116"/>
      <c r="BM42" s="116" t="s">
        <v>207</v>
      </c>
      <c r="BN42" s="116"/>
      <c r="BP42" s="116" t="s">
        <v>208</v>
      </c>
      <c r="BQ42" s="116"/>
      <c r="BR42" s="116" t="s">
        <v>206</v>
      </c>
      <c r="BS42" s="116"/>
    </row>
  </sheetData>
  <mergeCells count="196">
    <mergeCell ref="AL27:AM27"/>
    <mergeCell ref="E30:F30"/>
    <mergeCell ref="I30:J30"/>
    <mergeCell ref="L30:M30"/>
    <mergeCell ref="O30:P30"/>
    <mergeCell ref="R30:S30"/>
    <mergeCell ref="V30:W30"/>
    <mergeCell ref="Z30:AA30"/>
    <mergeCell ref="AD30:AE30"/>
    <mergeCell ref="AH30:AI30"/>
    <mergeCell ref="BO30:BP30"/>
    <mergeCell ref="E31:F31"/>
    <mergeCell ref="I31:J31"/>
    <mergeCell ref="L31:M31"/>
    <mergeCell ref="O31:P31"/>
    <mergeCell ref="R31:S31"/>
    <mergeCell ref="V31:W31"/>
    <mergeCell ref="Z31:AA31"/>
    <mergeCell ref="AD31:AE31"/>
    <mergeCell ref="AH31:AI31"/>
    <mergeCell ref="AL30:AM30"/>
    <mergeCell ref="AP30:AQ30"/>
    <mergeCell ref="AR30:AS30"/>
    <mergeCell ref="AU30:AV30"/>
    <mergeCell ref="AX30:AY30"/>
    <mergeCell ref="BG30:BH30"/>
    <mergeCell ref="BO31:BP31"/>
    <mergeCell ref="AL31:AM31"/>
    <mergeCell ref="AP31:AQ31"/>
    <mergeCell ref="AR31:AS31"/>
    <mergeCell ref="AU31:AV31"/>
    <mergeCell ref="AX31:AY31"/>
    <mergeCell ref="BG31:BH31"/>
    <mergeCell ref="E32:F32"/>
    <mergeCell ref="I32:J32"/>
    <mergeCell ref="L32:M32"/>
    <mergeCell ref="O32:P32"/>
    <mergeCell ref="R32:S32"/>
    <mergeCell ref="V32:W32"/>
    <mergeCell ref="Z32:AA32"/>
    <mergeCell ref="AD32:AE32"/>
    <mergeCell ref="AH32:AI32"/>
    <mergeCell ref="C35:D35"/>
    <mergeCell ref="F35:G35"/>
    <mergeCell ref="H35:I35"/>
    <mergeCell ref="J35:K35"/>
    <mergeCell ref="L35:M35"/>
    <mergeCell ref="N35:O35"/>
    <mergeCell ref="P35:Q35"/>
    <mergeCell ref="R35:S35"/>
    <mergeCell ref="U35:V35"/>
    <mergeCell ref="AU35:AV35"/>
    <mergeCell ref="AW35:AX35"/>
    <mergeCell ref="W35:X35"/>
    <mergeCell ref="Y35:Z35"/>
    <mergeCell ref="AA35:AB35"/>
    <mergeCell ref="AC35:AD35"/>
    <mergeCell ref="AE35:AF35"/>
    <mergeCell ref="AG35:AH35"/>
    <mergeCell ref="BO32:BP32"/>
    <mergeCell ref="AL32:AM32"/>
    <mergeCell ref="AP32:AQ32"/>
    <mergeCell ref="AR32:AS32"/>
    <mergeCell ref="AU32:AV32"/>
    <mergeCell ref="AX32:AY32"/>
    <mergeCell ref="BG32:BH32"/>
    <mergeCell ref="AA36:AB36"/>
    <mergeCell ref="AC36:AD36"/>
    <mergeCell ref="AE36:AF36"/>
    <mergeCell ref="AG36:AH36"/>
    <mergeCell ref="BQ35:BR35"/>
    <mergeCell ref="C36:D36"/>
    <mergeCell ref="F36:G36"/>
    <mergeCell ref="H36:I36"/>
    <mergeCell ref="J36:K36"/>
    <mergeCell ref="L36:M36"/>
    <mergeCell ref="N36:O36"/>
    <mergeCell ref="P36:Q36"/>
    <mergeCell ref="R36:S36"/>
    <mergeCell ref="U36:V36"/>
    <mergeCell ref="AY35:AZ35"/>
    <mergeCell ref="BC35:BD35"/>
    <mergeCell ref="BG35:BH35"/>
    <mergeCell ref="BJ35:BK35"/>
    <mergeCell ref="BM35:BN35"/>
    <mergeCell ref="BO35:BP35"/>
    <mergeCell ref="AI35:AJ35"/>
    <mergeCell ref="AK35:AL35"/>
    <mergeCell ref="AM35:AN35"/>
    <mergeCell ref="AP35:AQ35"/>
    <mergeCell ref="BQ36:BR36"/>
    <mergeCell ref="C37:D37"/>
    <mergeCell ref="F37:G37"/>
    <mergeCell ref="H37:I37"/>
    <mergeCell ref="J37:K37"/>
    <mergeCell ref="L37:M37"/>
    <mergeCell ref="N37:O37"/>
    <mergeCell ref="P37:Q37"/>
    <mergeCell ref="R37:S37"/>
    <mergeCell ref="U37:V37"/>
    <mergeCell ref="AY36:AZ36"/>
    <mergeCell ref="BC36:BD36"/>
    <mergeCell ref="BG36:BH36"/>
    <mergeCell ref="BJ36:BK36"/>
    <mergeCell ref="BM36:BN36"/>
    <mergeCell ref="BO36:BP36"/>
    <mergeCell ref="AI36:AJ36"/>
    <mergeCell ref="AK36:AL36"/>
    <mergeCell ref="AM36:AN36"/>
    <mergeCell ref="AP36:AQ36"/>
    <mergeCell ref="AU36:AV36"/>
    <mergeCell ref="AW36:AX36"/>
    <mergeCell ref="W36:X36"/>
    <mergeCell ref="Y36:Z36"/>
    <mergeCell ref="AK37:AL37"/>
    <mergeCell ref="AM37:AN37"/>
    <mergeCell ref="AP37:AQ37"/>
    <mergeCell ref="AU37:AV37"/>
    <mergeCell ref="AW37:AX37"/>
    <mergeCell ref="W37:X37"/>
    <mergeCell ref="Y37:Z37"/>
    <mergeCell ref="AA37:AB37"/>
    <mergeCell ref="AC37:AD37"/>
    <mergeCell ref="AE37:AF37"/>
    <mergeCell ref="AG37:AH37"/>
    <mergeCell ref="BR40:BS40"/>
    <mergeCell ref="AL40:AM40"/>
    <mergeCell ref="AN40:AO40"/>
    <mergeCell ref="AP40:AQ40"/>
    <mergeCell ref="AY40:AZ40"/>
    <mergeCell ref="BA40:BB40"/>
    <mergeCell ref="BC40:BD40"/>
    <mergeCell ref="BQ37:BR37"/>
    <mergeCell ref="B40:C40"/>
    <mergeCell ref="D40:E40"/>
    <mergeCell ref="F40:G40"/>
    <mergeCell ref="J40:K40"/>
    <mergeCell ref="Q40:R40"/>
    <mergeCell ref="S40:T40"/>
    <mergeCell ref="AB40:AC40"/>
    <mergeCell ref="AD40:AE40"/>
    <mergeCell ref="AG40:AH40"/>
    <mergeCell ref="AY37:AZ37"/>
    <mergeCell ref="BC37:BD37"/>
    <mergeCell ref="BG37:BH37"/>
    <mergeCell ref="BJ37:BK37"/>
    <mergeCell ref="BM37:BN37"/>
    <mergeCell ref="BO37:BP37"/>
    <mergeCell ref="AI37:AJ37"/>
    <mergeCell ref="F41:G41"/>
    <mergeCell ref="J41:K41"/>
    <mergeCell ref="Q41:R41"/>
    <mergeCell ref="S41:T41"/>
    <mergeCell ref="BE40:BF40"/>
    <mergeCell ref="BI40:BJ40"/>
    <mergeCell ref="BK40:BL40"/>
    <mergeCell ref="BM40:BN40"/>
    <mergeCell ref="BP40:BQ40"/>
    <mergeCell ref="BM41:BN41"/>
    <mergeCell ref="BP41:BQ41"/>
    <mergeCell ref="BR41:BS41"/>
    <mergeCell ref="B42:C42"/>
    <mergeCell ref="D42:E42"/>
    <mergeCell ref="F42:G42"/>
    <mergeCell ref="J42:K42"/>
    <mergeCell ref="Q42:R42"/>
    <mergeCell ref="S42:T42"/>
    <mergeCell ref="AB42:AC42"/>
    <mergeCell ref="AY41:AZ41"/>
    <mergeCell ref="BA41:BB41"/>
    <mergeCell ref="BC41:BD41"/>
    <mergeCell ref="BE41:BF41"/>
    <mergeCell ref="BI41:BJ41"/>
    <mergeCell ref="BK41:BL41"/>
    <mergeCell ref="AB41:AC41"/>
    <mergeCell ref="AD41:AE41"/>
    <mergeCell ref="AG41:AH41"/>
    <mergeCell ref="AL41:AM41"/>
    <mergeCell ref="AN41:AO41"/>
    <mergeCell ref="AP41:AQ41"/>
    <mergeCell ref="B41:C41"/>
    <mergeCell ref="D41:E41"/>
    <mergeCell ref="BP42:BQ42"/>
    <mergeCell ref="BR42:BS42"/>
    <mergeCell ref="BA42:BB42"/>
    <mergeCell ref="BC42:BD42"/>
    <mergeCell ref="BE42:BF42"/>
    <mergeCell ref="BI42:BJ42"/>
    <mergeCell ref="BK42:BL42"/>
    <mergeCell ref="BM42:BN42"/>
    <mergeCell ref="AD42:AE42"/>
    <mergeCell ref="AG42:AH42"/>
    <mergeCell ref="AL42:AM42"/>
    <mergeCell ref="AN42:AO42"/>
    <mergeCell ref="AP42:AQ42"/>
    <mergeCell ref="AY42:AZ42"/>
  </mergeCells>
  <phoneticPr fontId="3" type="noConversion"/>
  <printOptions horizontalCentered="1"/>
  <pageMargins left="0.11811023622047245" right="0.11811023622047245" top="0.78740157480314965" bottom="0.15748031496062992" header="0.31496062992125984" footer="0.31496062992125984"/>
  <pageSetup paperSize="9" scale="5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B1:BJ27"/>
  <sheetViews>
    <sheetView showGridLines="0" zoomScale="75" zoomScaleNormal="75" workbookViewId="0">
      <selection activeCell="AZ20" sqref="AZ20"/>
    </sheetView>
  </sheetViews>
  <sheetFormatPr defaultColWidth="3.77734375" defaultRowHeight="22.2"/>
  <cols>
    <col min="1" max="1" width="3.77734375" style="9"/>
    <col min="2" max="2" width="3.77734375" style="3"/>
    <col min="3" max="3" width="3.88671875" style="3" bestFit="1" customWidth="1"/>
    <col min="4" max="5" width="4.6640625" style="3" bestFit="1" customWidth="1"/>
    <col min="6" max="6" width="3.77734375" style="3"/>
    <col min="7" max="7" width="3.88671875" style="3" bestFit="1" customWidth="1"/>
    <col min="8" max="9" width="4.6640625" style="3" bestFit="1" customWidth="1"/>
    <col min="10" max="10" width="3.88671875" style="3" bestFit="1" customWidth="1"/>
    <col min="11" max="11" width="4.6640625" style="3" bestFit="1" customWidth="1"/>
    <col min="12" max="12" width="3.77734375" style="3"/>
    <col min="13" max="13" width="3.88671875" style="3" bestFit="1" customWidth="1"/>
    <col min="14" max="14" width="4.6640625" style="3" bestFit="1" customWidth="1"/>
    <col min="15" max="18" width="3.77734375" style="3"/>
    <col min="19" max="19" width="3.77734375" style="6"/>
    <col min="20" max="20" width="3.88671875" style="6" bestFit="1" customWidth="1"/>
    <col min="21" max="21" width="3.77734375" style="6"/>
    <col min="22" max="22" width="4.6640625" style="6" bestFit="1" customWidth="1"/>
    <col min="23" max="23" width="3.77734375" style="6"/>
    <col min="24" max="24" width="4.6640625" style="6" bestFit="1" customWidth="1"/>
    <col min="25" max="25" width="3.77734375" style="6"/>
    <col min="26" max="26" width="3.88671875" style="6" bestFit="1" customWidth="1"/>
    <col min="27" max="27" width="4.6640625" style="6" bestFit="1" customWidth="1"/>
    <col min="28" max="28" width="3.77734375" style="6" customWidth="1"/>
    <col min="29" max="29" width="3.77734375" style="7" customWidth="1"/>
    <col min="30" max="30" width="3.77734375" style="7"/>
    <col min="31" max="31" width="3.88671875" style="7" bestFit="1" customWidth="1"/>
    <col min="32" max="32" width="3.77734375" style="7"/>
    <col min="33" max="33" width="3.77734375" style="7" customWidth="1"/>
    <col min="34" max="35" width="3.77734375" style="7"/>
    <col min="36" max="36" width="3.88671875" style="7" bestFit="1" customWidth="1"/>
    <col min="37" max="37" width="3.77734375" style="7"/>
    <col min="38" max="38" width="4.6640625" style="7" bestFit="1" customWidth="1"/>
    <col min="39" max="39" width="3.77734375" style="7"/>
    <col min="40" max="40" width="3.88671875" style="7" bestFit="1" customWidth="1"/>
    <col min="41" max="41" width="4.6640625" style="7" bestFit="1" customWidth="1"/>
    <col min="42" max="45" width="3.77734375" style="7"/>
    <col min="46" max="46" width="3.88671875" style="7" bestFit="1" customWidth="1"/>
    <col min="47" max="47" width="3.77734375" style="7"/>
    <col min="48" max="16384" width="3.77734375" style="9"/>
  </cols>
  <sheetData>
    <row r="1" spans="2:62">
      <c r="F1" s="4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6"/>
      <c r="AE1" s="6"/>
      <c r="AF1" s="6"/>
    </row>
    <row r="2" spans="2:62">
      <c r="F2" s="4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6"/>
      <c r="AE2" s="6"/>
      <c r="AF2" s="6"/>
    </row>
    <row r="3" spans="2:62">
      <c r="F3" s="4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6"/>
      <c r="AE3" s="6"/>
      <c r="AF3" s="6"/>
    </row>
    <row r="4" spans="2:62">
      <c r="F4" s="4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6"/>
      <c r="AE4" s="6"/>
      <c r="AF4" s="6"/>
    </row>
    <row r="5" spans="2:62">
      <c r="F5" s="4"/>
      <c r="K5" s="9"/>
      <c r="P5" s="9"/>
      <c r="Q5" s="9"/>
      <c r="R5" s="9"/>
      <c r="S5" s="9"/>
      <c r="T5" s="3"/>
      <c r="U5" s="3"/>
      <c r="V5" s="3"/>
      <c r="W5" s="3"/>
      <c r="X5" s="5">
        <v>1872</v>
      </c>
      <c r="Y5" s="3" t="s">
        <v>110</v>
      </c>
      <c r="Z5" s="3" t="s">
        <v>1</v>
      </c>
      <c r="AA5" s="5">
        <v>1868</v>
      </c>
      <c r="AB5" s="5"/>
      <c r="AC5" s="3"/>
      <c r="AD5" s="6"/>
      <c r="AE5" s="6"/>
      <c r="AF5" s="6"/>
      <c r="BJ5" s="3"/>
    </row>
    <row r="6" spans="2:62">
      <c r="F6" s="5"/>
      <c r="K6" s="9"/>
      <c r="P6" s="9"/>
      <c r="Q6" s="9"/>
      <c r="R6" s="9"/>
      <c r="S6" s="9"/>
      <c r="T6" s="3"/>
      <c r="U6" s="3"/>
      <c r="V6" s="3"/>
      <c r="W6" s="3"/>
      <c r="X6" s="5" t="s">
        <v>4</v>
      </c>
      <c r="Y6" s="3"/>
      <c r="Z6" s="3" t="s">
        <v>111</v>
      </c>
      <c r="AA6" s="5" t="s">
        <v>4</v>
      </c>
      <c r="AB6" s="5"/>
      <c r="AC6" s="3"/>
      <c r="AD6" s="6"/>
      <c r="AE6" s="6"/>
      <c r="AF6" s="6"/>
      <c r="AX6" s="8" t="s">
        <v>37</v>
      </c>
      <c r="AY6" s="8" t="s">
        <v>3</v>
      </c>
      <c r="BJ6" s="3"/>
    </row>
    <row r="7" spans="2:62">
      <c r="F7" s="5"/>
      <c r="K7" s="9"/>
      <c r="P7" s="9"/>
      <c r="Q7" s="9"/>
      <c r="R7" s="9"/>
      <c r="S7" s="9"/>
      <c r="T7" s="3"/>
      <c r="U7" s="3"/>
      <c r="V7" s="3"/>
      <c r="W7" s="3"/>
      <c r="X7" s="5">
        <v>1938</v>
      </c>
      <c r="Y7" s="3" t="s">
        <v>112</v>
      </c>
      <c r="Z7" s="3" t="s">
        <v>113</v>
      </c>
      <c r="AA7" s="5">
        <v>1919</v>
      </c>
      <c r="AB7" s="5"/>
      <c r="AC7" s="3"/>
      <c r="AD7" s="6"/>
      <c r="AE7" s="6"/>
      <c r="AF7" s="6"/>
      <c r="BJ7" s="3"/>
    </row>
    <row r="8" spans="2:62">
      <c r="F8" s="5"/>
      <c r="K8" s="9"/>
      <c r="P8" s="9"/>
      <c r="Q8" s="9"/>
      <c r="R8" s="9"/>
      <c r="S8" s="9"/>
      <c r="T8" s="3"/>
      <c r="U8" s="3"/>
      <c r="V8" s="3"/>
      <c r="W8" s="3"/>
      <c r="X8" s="3"/>
      <c r="Y8" s="3"/>
      <c r="Z8" s="10"/>
      <c r="AA8" s="3"/>
      <c r="AB8" s="3"/>
      <c r="AC8" s="3"/>
      <c r="AD8" s="6"/>
      <c r="AE8" s="6"/>
      <c r="AF8" s="6"/>
      <c r="BJ8" s="3"/>
    </row>
    <row r="9" spans="2:62">
      <c r="S9" s="3"/>
      <c r="T9" s="3"/>
      <c r="U9" s="3"/>
      <c r="V9" s="3"/>
      <c r="W9" s="3"/>
      <c r="X9" s="3"/>
      <c r="Y9" s="3"/>
      <c r="Z9" s="10"/>
      <c r="AA9" s="3"/>
      <c r="AB9" s="3"/>
      <c r="AC9" s="6"/>
      <c r="AD9" s="6"/>
      <c r="AE9" s="6"/>
      <c r="AF9" s="6"/>
      <c r="BJ9" s="6"/>
    </row>
    <row r="10" spans="2:62">
      <c r="S10" s="3"/>
      <c r="T10" s="5"/>
      <c r="U10" s="3"/>
      <c r="V10" s="5">
        <v>1916</v>
      </c>
      <c r="W10" s="3" t="s">
        <v>1</v>
      </c>
      <c r="X10" s="5">
        <v>1903</v>
      </c>
      <c r="Y10" s="3" t="s">
        <v>1</v>
      </c>
      <c r="Z10" s="3" t="s">
        <v>1</v>
      </c>
      <c r="AA10" s="5">
        <v>1903</v>
      </c>
      <c r="AB10" s="5"/>
      <c r="AC10" s="6"/>
      <c r="AD10" s="6"/>
      <c r="AE10" s="6"/>
      <c r="AF10" s="6"/>
      <c r="BJ10" s="6"/>
    </row>
    <row r="11" spans="2:62">
      <c r="S11" s="3"/>
      <c r="T11" s="5"/>
      <c r="U11" s="3"/>
      <c r="V11" s="5" t="s">
        <v>4</v>
      </c>
      <c r="W11" s="3" t="s">
        <v>116</v>
      </c>
      <c r="X11" s="5" t="s">
        <v>4</v>
      </c>
      <c r="Y11" s="3" t="s">
        <v>21</v>
      </c>
      <c r="Z11" s="3" t="s">
        <v>117</v>
      </c>
      <c r="AA11" s="5" t="s">
        <v>4</v>
      </c>
      <c r="AB11" s="5"/>
      <c r="AC11" s="6"/>
      <c r="AD11" s="6"/>
      <c r="AE11" s="6"/>
      <c r="AF11" s="6"/>
      <c r="AX11" s="8" t="s">
        <v>64</v>
      </c>
      <c r="AY11" s="8" t="s">
        <v>3</v>
      </c>
      <c r="BJ11" s="6"/>
    </row>
    <row r="12" spans="2:62">
      <c r="S12" s="3"/>
      <c r="T12" s="5"/>
      <c r="U12" s="3"/>
      <c r="V12" s="5">
        <v>1993</v>
      </c>
      <c r="W12" s="3" t="s">
        <v>122</v>
      </c>
      <c r="X12" s="5">
        <v>1940</v>
      </c>
      <c r="Y12" s="3" t="s">
        <v>350</v>
      </c>
      <c r="Z12" s="3" t="s">
        <v>123</v>
      </c>
      <c r="AA12" s="5">
        <v>2009</v>
      </c>
      <c r="AB12" s="5"/>
      <c r="AC12" s="6"/>
      <c r="AD12" s="6"/>
      <c r="AE12" s="6"/>
      <c r="AF12" s="6"/>
      <c r="BJ12" s="6"/>
    </row>
    <row r="13" spans="2:62">
      <c r="S13" s="3"/>
      <c r="T13" s="3"/>
      <c r="U13" s="3"/>
      <c r="V13" s="3"/>
      <c r="W13" s="8"/>
      <c r="X13" s="8"/>
      <c r="Y13" s="8"/>
      <c r="Z13" s="38"/>
      <c r="AC13" s="6"/>
      <c r="AD13" s="6"/>
      <c r="AE13" s="6"/>
      <c r="AF13" s="6"/>
    </row>
    <row r="14" spans="2:62" s="6" customFormat="1">
      <c r="B14" s="3"/>
      <c r="C14" s="18">
        <v>5</v>
      </c>
      <c r="D14" s="13"/>
      <c r="E14" s="13"/>
      <c r="F14" s="13"/>
      <c r="G14" s="18">
        <v>4</v>
      </c>
      <c r="H14" s="13"/>
      <c r="I14" s="13"/>
      <c r="J14" s="13"/>
      <c r="K14" s="13"/>
      <c r="L14" s="13"/>
      <c r="M14" s="18">
        <v>3</v>
      </c>
      <c r="N14" s="13"/>
      <c r="O14" s="13"/>
      <c r="P14" s="13"/>
      <c r="Q14" s="13"/>
      <c r="R14" s="13"/>
      <c r="S14" s="20"/>
      <c r="T14" s="20"/>
      <c r="U14" s="20"/>
      <c r="V14" s="21"/>
      <c r="W14" s="21"/>
      <c r="X14" s="21"/>
      <c r="Y14" s="13"/>
      <c r="Z14" s="18">
        <v>2</v>
      </c>
      <c r="AA14" s="13"/>
      <c r="AB14" s="13"/>
      <c r="AC14" s="21"/>
      <c r="AD14" s="21"/>
      <c r="AE14" s="21"/>
      <c r="AF14" s="21"/>
      <c r="AG14" s="21"/>
      <c r="AH14" s="21"/>
      <c r="AI14" s="21"/>
      <c r="AJ14" s="21"/>
      <c r="AK14" s="21"/>
      <c r="AL14" s="13"/>
      <c r="AM14" s="30"/>
      <c r="AN14" s="10">
        <v>1</v>
      </c>
      <c r="AO14" s="3"/>
      <c r="AP14" s="3"/>
      <c r="AQ14" s="3"/>
      <c r="AR14" s="3"/>
      <c r="AX14" s="9"/>
      <c r="AY14" s="9"/>
    </row>
    <row r="15" spans="2:62">
      <c r="B15" s="116" t="s">
        <v>1</v>
      </c>
      <c r="C15" s="116"/>
      <c r="D15" s="54">
        <v>1951</v>
      </c>
      <c r="E15" s="5">
        <v>1953</v>
      </c>
      <c r="F15" s="3" t="s">
        <v>21</v>
      </c>
      <c r="G15" s="3" t="s">
        <v>1</v>
      </c>
      <c r="H15" s="54">
        <v>1949</v>
      </c>
      <c r="I15" s="5">
        <v>1955</v>
      </c>
      <c r="J15" s="3" t="s">
        <v>110</v>
      </c>
      <c r="K15" s="54">
        <v>1947</v>
      </c>
      <c r="L15" s="3" t="s">
        <v>1</v>
      </c>
      <c r="M15" s="3" t="s">
        <v>1</v>
      </c>
      <c r="N15" s="54">
        <v>1946</v>
      </c>
      <c r="S15" s="8"/>
      <c r="T15" s="8"/>
      <c r="U15" s="8"/>
      <c r="X15" s="5">
        <v>1930</v>
      </c>
      <c r="Y15" s="3" t="s">
        <v>1</v>
      </c>
      <c r="Z15" s="3" t="s">
        <v>1</v>
      </c>
      <c r="AA15" s="54">
        <v>1925</v>
      </c>
      <c r="AB15" s="4"/>
      <c r="AL15" s="5">
        <v>1924</v>
      </c>
      <c r="AM15" s="3" t="s">
        <v>1</v>
      </c>
      <c r="AN15" s="3" t="s">
        <v>1</v>
      </c>
      <c r="AO15" s="54">
        <v>1922</v>
      </c>
      <c r="AP15" s="9"/>
      <c r="AQ15" s="9"/>
      <c r="AR15" s="9"/>
      <c r="AX15" s="6"/>
      <c r="AY15" s="6"/>
    </row>
    <row r="16" spans="2:62">
      <c r="B16" s="116" t="s">
        <v>130</v>
      </c>
      <c r="C16" s="116"/>
      <c r="D16" s="5" t="s">
        <v>4</v>
      </c>
      <c r="E16" s="5"/>
      <c r="F16" s="3" t="s">
        <v>247</v>
      </c>
      <c r="G16" s="3" t="s">
        <v>130</v>
      </c>
      <c r="H16" s="5"/>
      <c r="I16" s="5"/>
      <c r="J16" s="3" t="s">
        <v>248</v>
      </c>
      <c r="K16" s="5" t="s">
        <v>4</v>
      </c>
      <c r="L16" s="3" t="s">
        <v>210</v>
      </c>
      <c r="M16" s="3" t="s">
        <v>130</v>
      </c>
      <c r="N16" s="5"/>
      <c r="S16" s="8"/>
      <c r="T16" s="8"/>
      <c r="U16" s="8"/>
      <c r="X16" s="5" t="s">
        <v>4</v>
      </c>
      <c r="Y16" s="3" t="s">
        <v>249</v>
      </c>
      <c r="Z16" s="3" t="s">
        <v>132</v>
      </c>
      <c r="AA16" s="5" t="s">
        <v>4</v>
      </c>
      <c r="AB16" s="4"/>
      <c r="AL16" s="5" t="s">
        <v>4</v>
      </c>
      <c r="AM16" s="3" t="s">
        <v>250</v>
      </c>
      <c r="AN16" s="3"/>
      <c r="AO16" s="5" t="s">
        <v>4</v>
      </c>
      <c r="AP16" s="9"/>
      <c r="AQ16" s="9"/>
      <c r="AR16" s="9"/>
      <c r="AX16" s="8" t="s">
        <v>93</v>
      </c>
      <c r="AY16" s="8" t="s">
        <v>3</v>
      </c>
    </row>
    <row r="17" spans="2:51" s="25" customFormat="1">
      <c r="B17" s="116" t="s">
        <v>143</v>
      </c>
      <c r="C17" s="116"/>
      <c r="D17" s="54">
        <v>1973</v>
      </c>
      <c r="E17" s="5"/>
      <c r="F17" s="3" t="s">
        <v>209</v>
      </c>
      <c r="G17" s="3" t="s">
        <v>144</v>
      </c>
      <c r="H17" s="5"/>
      <c r="I17" s="5"/>
      <c r="J17" s="3" t="s">
        <v>120</v>
      </c>
      <c r="K17" s="54">
        <v>1996</v>
      </c>
      <c r="L17" s="3" t="s">
        <v>251</v>
      </c>
      <c r="M17" s="3" t="s">
        <v>43</v>
      </c>
      <c r="N17" s="5"/>
      <c r="O17" s="3"/>
      <c r="P17" s="3"/>
      <c r="Q17" s="3"/>
      <c r="R17" s="3"/>
      <c r="S17" s="8"/>
      <c r="T17" s="8"/>
      <c r="U17" s="8"/>
      <c r="V17" s="26"/>
      <c r="W17" s="26"/>
      <c r="X17" s="5">
        <v>2012</v>
      </c>
      <c r="Y17" s="3" t="s">
        <v>22</v>
      </c>
      <c r="Z17" s="3" t="s">
        <v>145</v>
      </c>
      <c r="AA17" s="54">
        <v>2014</v>
      </c>
      <c r="AB17" s="4"/>
      <c r="AC17" s="27"/>
      <c r="AD17" s="27"/>
      <c r="AE17" s="27"/>
      <c r="AF17" s="27"/>
      <c r="AG17" s="27"/>
      <c r="AH17" s="27"/>
      <c r="AI17" s="27"/>
      <c r="AJ17" s="27"/>
      <c r="AK17" s="27"/>
      <c r="AL17" s="5">
        <v>2004</v>
      </c>
      <c r="AM17" s="3" t="s">
        <v>252</v>
      </c>
      <c r="AN17" s="3" t="s">
        <v>146</v>
      </c>
      <c r="AO17" s="54">
        <v>1988</v>
      </c>
      <c r="AP17" s="92"/>
      <c r="AS17" s="27"/>
      <c r="AT17" s="27"/>
      <c r="AU17" s="27"/>
      <c r="AX17" s="9"/>
      <c r="AY17" s="9"/>
    </row>
    <row r="18" spans="2:51" s="25" customFormat="1">
      <c r="B18" s="3"/>
      <c r="C18" s="3"/>
      <c r="D18" s="3"/>
      <c r="E18" s="3"/>
      <c r="F18" s="9"/>
      <c r="G18" s="31"/>
      <c r="H18" s="9"/>
      <c r="I18" s="9"/>
      <c r="J18" s="9"/>
      <c r="K18" s="3"/>
      <c r="L18" s="3" t="s">
        <v>253</v>
      </c>
      <c r="M18" s="10"/>
      <c r="N18" s="3"/>
      <c r="O18" s="3"/>
      <c r="P18" s="3"/>
      <c r="Q18" s="3"/>
      <c r="R18" s="3"/>
      <c r="S18" s="8"/>
      <c r="T18" s="8"/>
      <c r="U18" s="8"/>
      <c r="V18" s="26"/>
      <c r="W18" s="26"/>
      <c r="X18" s="26"/>
      <c r="Y18" s="3" t="s">
        <v>31</v>
      </c>
      <c r="Z18" s="40"/>
      <c r="AA18" s="26"/>
      <c r="AB18" s="26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41"/>
      <c r="AO18" s="27"/>
      <c r="AP18" s="27"/>
      <c r="AQ18" s="27"/>
      <c r="AR18" s="27"/>
      <c r="AS18" s="27"/>
      <c r="AT18" s="27"/>
      <c r="AU18" s="27"/>
    </row>
    <row r="19" spans="2:51" s="6" customFormat="1">
      <c r="B19" s="3"/>
      <c r="C19" s="3"/>
      <c r="D19" s="3"/>
      <c r="E19" s="3"/>
      <c r="G19" s="10"/>
      <c r="H19" s="3"/>
      <c r="I19" s="3"/>
      <c r="J19" s="18">
        <v>2</v>
      </c>
      <c r="K19" s="13"/>
      <c r="L19" s="13"/>
      <c r="M19" s="30"/>
      <c r="N19" s="10">
        <v>1</v>
      </c>
      <c r="O19" s="3"/>
      <c r="P19" s="3"/>
      <c r="Q19" s="3"/>
      <c r="R19" s="3"/>
      <c r="S19" s="8"/>
      <c r="T19" s="18">
        <v>3</v>
      </c>
      <c r="U19" s="20"/>
      <c r="V19" s="21"/>
      <c r="W19" s="21"/>
      <c r="X19" s="21"/>
      <c r="Y19" s="20"/>
      <c r="Z19" s="18">
        <v>2</v>
      </c>
      <c r="AA19" s="20"/>
      <c r="AB19" s="20"/>
      <c r="AC19" s="21"/>
      <c r="AD19" s="43"/>
      <c r="AE19" s="10">
        <v>1</v>
      </c>
      <c r="AJ19" s="48">
        <v>3</v>
      </c>
      <c r="AK19" s="21"/>
      <c r="AL19" s="13"/>
      <c r="AM19" s="13"/>
      <c r="AN19" s="18">
        <v>2</v>
      </c>
      <c r="AO19" s="13"/>
      <c r="AP19" s="13"/>
      <c r="AQ19" s="13"/>
      <c r="AR19" s="13"/>
      <c r="AS19" s="33"/>
      <c r="AT19" s="36">
        <v>1</v>
      </c>
      <c r="AX19" s="25"/>
      <c r="AY19" s="25"/>
    </row>
    <row r="20" spans="2:51">
      <c r="F20" s="116" t="s">
        <v>1</v>
      </c>
      <c r="G20" s="116"/>
      <c r="H20" s="54">
        <v>1990</v>
      </c>
      <c r="I20" s="116" t="s">
        <v>1</v>
      </c>
      <c r="J20" s="116"/>
      <c r="K20" s="54">
        <v>1982</v>
      </c>
      <c r="L20" s="5">
        <v>1979</v>
      </c>
      <c r="M20" s="3" t="s">
        <v>21</v>
      </c>
      <c r="N20" s="3" t="s">
        <v>1</v>
      </c>
      <c r="O20" s="54">
        <v>1975</v>
      </c>
      <c r="R20" s="5">
        <v>1967</v>
      </c>
      <c r="S20" s="3" t="s">
        <v>222</v>
      </c>
      <c r="T20" s="3" t="s">
        <v>1</v>
      </c>
      <c r="U20" s="54">
        <v>1959</v>
      </c>
      <c r="Y20" s="116" t="s">
        <v>1</v>
      </c>
      <c r="Z20" s="116"/>
      <c r="AA20" s="54">
        <v>1953</v>
      </c>
      <c r="AB20" s="4"/>
      <c r="AC20" s="52">
        <v>1951</v>
      </c>
      <c r="AD20" s="3" t="s">
        <v>114</v>
      </c>
      <c r="AE20" s="3" t="s">
        <v>1</v>
      </c>
      <c r="AF20" s="54">
        <v>1949</v>
      </c>
      <c r="AH20" s="5">
        <v>1968</v>
      </c>
      <c r="AI20" s="3" t="s">
        <v>114</v>
      </c>
      <c r="AJ20" s="3" t="s">
        <v>1</v>
      </c>
      <c r="AK20" s="54">
        <v>1965</v>
      </c>
      <c r="AL20" s="5">
        <v>1960</v>
      </c>
      <c r="AM20" s="3" t="s">
        <v>254</v>
      </c>
      <c r="AN20" s="3" t="s">
        <v>1</v>
      </c>
      <c r="AO20" s="54">
        <v>1963</v>
      </c>
      <c r="AP20" s="5"/>
      <c r="AQ20" s="5"/>
      <c r="AR20" s="5">
        <v>1952</v>
      </c>
      <c r="AS20" s="3" t="s">
        <v>255</v>
      </c>
      <c r="AT20" s="3" t="s">
        <v>1</v>
      </c>
      <c r="AU20" s="54">
        <v>1943</v>
      </c>
      <c r="AV20" s="7"/>
      <c r="AX20" s="6"/>
      <c r="AY20" s="6"/>
    </row>
    <row r="21" spans="2:51">
      <c r="F21" s="116" t="s">
        <v>158</v>
      </c>
      <c r="G21" s="116"/>
      <c r="H21" s="4"/>
      <c r="I21" s="116" t="s">
        <v>159</v>
      </c>
      <c r="J21" s="116"/>
      <c r="K21" s="9"/>
      <c r="L21" s="5"/>
      <c r="M21" s="3" t="s">
        <v>256</v>
      </c>
      <c r="N21" s="3" t="s">
        <v>160</v>
      </c>
      <c r="O21" s="5"/>
      <c r="R21" s="5"/>
      <c r="S21" s="3" t="s">
        <v>215</v>
      </c>
      <c r="T21" s="3" t="s">
        <v>161</v>
      </c>
      <c r="U21" s="5"/>
      <c r="Y21" s="116" t="s">
        <v>161</v>
      </c>
      <c r="Z21" s="116"/>
      <c r="AA21" s="5" t="s">
        <v>4</v>
      </c>
      <c r="AB21" s="4"/>
      <c r="AC21" s="5"/>
      <c r="AD21" s="3" t="s">
        <v>444</v>
      </c>
      <c r="AE21" s="3" t="s">
        <v>161</v>
      </c>
      <c r="AH21" s="5"/>
      <c r="AI21" s="3" t="s">
        <v>213</v>
      </c>
      <c r="AJ21" s="3" t="s">
        <v>95</v>
      </c>
      <c r="AK21" s="5"/>
      <c r="AL21" s="5"/>
      <c r="AM21" s="3" t="s">
        <v>104</v>
      </c>
      <c r="AN21" s="3" t="s">
        <v>95</v>
      </c>
      <c r="AO21" s="5"/>
      <c r="AP21" s="5"/>
      <c r="AQ21" s="5"/>
      <c r="AR21" s="5"/>
      <c r="AS21" s="3" t="s">
        <v>257</v>
      </c>
      <c r="AT21" s="3" t="s">
        <v>95</v>
      </c>
      <c r="AU21" s="5"/>
      <c r="AV21" s="7"/>
      <c r="AX21" s="8" t="s">
        <v>304</v>
      </c>
      <c r="AY21" s="8" t="s">
        <v>3</v>
      </c>
    </row>
    <row r="22" spans="2:51">
      <c r="F22" s="116" t="s">
        <v>179</v>
      </c>
      <c r="G22" s="116"/>
      <c r="H22" s="4"/>
      <c r="I22" s="116" t="s">
        <v>180</v>
      </c>
      <c r="J22" s="116"/>
      <c r="K22" s="9"/>
      <c r="L22" s="5"/>
      <c r="M22" s="3" t="s">
        <v>243</v>
      </c>
      <c r="N22" s="3" t="s">
        <v>181</v>
      </c>
      <c r="O22" s="5"/>
      <c r="R22" s="5"/>
      <c r="S22" s="3" t="s">
        <v>258</v>
      </c>
      <c r="T22" s="3" t="s">
        <v>182</v>
      </c>
      <c r="U22" s="5"/>
      <c r="Y22" s="116" t="s">
        <v>183</v>
      </c>
      <c r="Z22" s="116"/>
      <c r="AA22" s="54">
        <v>1977</v>
      </c>
      <c r="AB22" s="4"/>
      <c r="AC22" s="5"/>
      <c r="AD22" s="3" t="s">
        <v>445</v>
      </c>
      <c r="AE22" s="3" t="s">
        <v>166</v>
      </c>
      <c r="AH22" s="5"/>
      <c r="AI22" s="3" t="s">
        <v>259</v>
      </c>
      <c r="AJ22" s="3" t="s">
        <v>184</v>
      </c>
      <c r="AK22" s="5"/>
      <c r="AL22" s="5"/>
      <c r="AM22" s="3" t="s">
        <v>260</v>
      </c>
      <c r="AN22" s="3" t="s">
        <v>185</v>
      </c>
      <c r="AO22" s="5"/>
      <c r="AP22" s="5"/>
      <c r="AQ22" s="5"/>
      <c r="AR22" s="5"/>
      <c r="AS22" s="3" t="s">
        <v>234</v>
      </c>
      <c r="AT22" s="3" t="s">
        <v>58</v>
      </c>
      <c r="AU22" s="5"/>
      <c r="AV22" s="7"/>
    </row>
    <row r="23" spans="2:51">
      <c r="M23" s="6"/>
      <c r="N23" s="36"/>
      <c r="O23" s="6"/>
      <c r="T23" s="38"/>
      <c r="AC23" s="3"/>
      <c r="AD23" s="3"/>
      <c r="AE23" s="10"/>
      <c r="AF23" s="3"/>
      <c r="AG23" s="3"/>
      <c r="AH23" s="3"/>
      <c r="AI23" s="6"/>
      <c r="AJ23" s="36"/>
      <c r="AK23" s="6"/>
      <c r="AS23" s="3"/>
      <c r="AT23" s="10"/>
      <c r="AU23" s="3"/>
      <c r="AV23" s="3"/>
    </row>
    <row r="24" spans="2:51" s="6" customFormat="1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N24" s="10"/>
      <c r="O24" s="3"/>
      <c r="P24" s="3"/>
      <c r="Q24" s="18">
        <v>3</v>
      </c>
      <c r="R24" s="13"/>
      <c r="S24" s="21"/>
      <c r="T24" s="48">
        <v>2</v>
      </c>
      <c r="U24" s="21"/>
      <c r="V24" s="33"/>
      <c r="W24" s="36">
        <v>1</v>
      </c>
      <c r="AC24" s="3"/>
      <c r="AD24" s="18">
        <v>2</v>
      </c>
      <c r="AE24" s="13"/>
      <c r="AF24" s="10">
        <v>1</v>
      </c>
      <c r="AG24" s="3"/>
      <c r="AH24" s="3"/>
      <c r="AJ24" s="10"/>
      <c r="AK24" s="3"/>
      <c r="AR24" s="48">
        <v>2</v>
      </c>
      <c r="AS24" s="13"/>
      <c r="AT24" s="13"/>
      <c r="AU24" s="30"/>
      <c r="AV24" s="10">
        <v>1</v>
      </c>
      <c r="AX24" s="9"/>
      <c r="AY24" s="9"/>
    </row>
    <row r="25" spans="2:51" s="25" customFormat="1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116" t="s">
        <v>1</v>
      </c>
      <c r="N25" s="116"/>
      <c r="O25" s="54">
        <v>2011</v>
      </c>
      <c r="P25" s="116" t="s">
        <v>1</v>
      </c>
      <c r="Q25" s="116"/>
      <c r="R25" s="54">
        <v>1995</v>
      </c>
      <c r="S25" s="116" t="s">
        <v>1</v>
      </c>
      <c r="T25" s="116"/>
      <c r="U25" s="54">
        <v>1993</v>
      </c>
      <c r="V25" s="116" t="s">
        <v>1</v>
      </c>
      <c r="W25" s="116"/>
      <c r="X25" s="54">
        <v>1988</v>
      </c>
      <c r="Y25" s="26"/>
      <c r="Z25" s="26"/>
      <c r="AA25" s="26"/>
      <c r="AB25" s="52">
        <f>1911+72</f>
        <v>1983</v>
      </c>
      <c r="AC25" s="116" t="s">
        <v>1</v>
      </c>
      <c r="AD25" s="116"/>
      <c r="AE25" s="116" t="s">
        <v>1</v>
      </c>
      <c r="AF25" s="116"/>
      <c r="AG25" s="54">
        <f>1911+69</f>
        <v>1980</v>
      </c>
      <c r="AH25" s="4"/>
      <c r="AI25" s="116" t="s">
        <v>1</v>
      </c>
      <c r="AJ25" s="116"/>
      <c r="AK25" s="54">
        <v>1993</v>
      </c>
      <c r="AL25" s="27"/>
      <c r="AM25" s="27"/>
      <c r="AN25" s="7"/>
      <c r="AO25" s="7"/>
      <c r="AP25" s="52">
        <v>1982</v>
      </c>
      <c r="AQ25" s="3" t="s">
        <v>211</v>
      </c>
      <c r="AR25" s="3" t="s">
        <v>1</v>
      </c>
      <c r="AS25" s="54">
        <v>1981</v>
      </c>
      <c r="AT25" s="5">
        <v>1979</v>
      </c>
      <c r="AU25" s="3" t="s">
        <v>21</v>
      </c>
      <c r="AV25" s="3" t="s">
        <v>1</v>
      </c>
      <c r="AW25" s="54">
        <v>1975</v>
      </c>
      <c r="AX25" s="6"/>
      <c r="AY25" s="6"/>
    </row>
    <row r="26" spans="2:51" s="25" customFormat="1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116" t="s">
        <v>194</v>
      </c>
      <c r="N26" s="116"/>
      <c r="O26" s="4"/>
      <c r="P26" s="116" t="s">
        <v>191</v>
      </c>
      <c r="Q26" s="116"/>
      <c r="R26" s="4"/>
      <c r="S26" s="116" t="s">
        <v>191</v>
      </c>
      <c r="T26" s="116"/>
      <c r="U26" s="4"/>
      <c r="V26" s="116" t="s">
        <v>191</v>
      </c>
      <c r="W26" s="116"/>
      <c r="X26" s="4"/>
      <c r="Y26" s="26"/>
      <c r="Z26" s="26"/>
      <c r="AA26" s="26"/>
      <c r="AB26" s="26"/>
      <c r="AC26" s="116" t="s">
        <v>154</v>
      </c>
      <c r="AD26" s="116"/>
      <c r="AE26" s="116" t="s">
        <v>41</v>
      </c>
      <c r="AF26" s="116"/>
      <c r="AG26" s="4"/>
      <c r="AH26" s="4"/>
      <c r="AI26" s="116" t="s">
        <v>195</v>
      </c>
      <c r="AJ26" s="116"/>
      <c r="AK26" s="4"/>
      <c r="AL26" s="27"/>
      <c r="AM26" s="27"/>
      <c r="AN26" s="7"/>
      <c r="AO26" s="7"/>
      <c r="AP26" s="5"/>
      <c r="AQ26" s="3" t="s">
        <v>256</v>
      </c>
      <c r="AR26" s="3" t="s">
        <v>196</v>
      </c>
      <c r="AS26" s="7"/>
      <c r="AT26" s="5"/>
      <c r="AU26" s="3" t="s">
        <v>213</v>
      </c>
      <c r="AV26" s="3" t="s">
        <v>196</v>
      </c>
      <c r="AW26" s="5"/>
      <c r="AX26" s="8" t="s">
        <v>307</v>
      </c>
      <c r="AY26" s="8" t="s">
        <v>3</v>
      </c>
    </row>
    <row r="27" spans="2:51">
      <c r="M27" s="116" t="s">
        <v>204</v>
      </c>
      <c r="N27" s="116"/>
      <c r="O27" s="4"/>
      <c r="P27" s="116" t="s">
        <v>205</v>
      </c>
      <c r="Q27" s="116"/>
      <c r="R27" s="4"/>
      <c r="S27" s="116" t="s">
        <v>69</v>
      </c>
      <c r="T27" s="116"/>
      <c r="U27" s="4"/>
      <c r="V27" s="116" t="s">
        <v>63</v>
      </c>
      <c r="W27" s="116"/>
      <c r="X27" s="4"/>
      <c r="AC27" s="116" t="s">
        <v>206</v>
      </c>
      <c r="AD27" s="116"/>
      <c r="AE27" s="116" t="s">
        <v>206</v>
      </c>
      <c r="AF27" s="116"/>
      <c r="AG27" s="4"/>
      <c r="AH27" s="4"/>
      <c r="AI27" s="116" t="s">
        <v>207</v>
      </c>
      <c r="AJ27" s="116"/>
      <c r="AK27" s="4"/>
      <c r="AP27" s="5"/>
      <c r="AQ27" s="3" t="s">
        <v>31</v>
      </c>
      <c r="AR27" s="3" t="s">
        <v>208</v>
      </c>
      <c r="AT27" s="5"/>
      <c r="AU27" s="3" t="s">
        <v>132</v>
      </c>
      <c r="AV27" s="3" t="s">
        <v>206</v>
      </c>
      <c r="AW27" s="5"/>
    </row>
  </sheetData>
  <mergeCells count="33">
    <mergeCell ref="Y20:Z20"/>
    <mergeCell ref="B15:C15"/>
    <mergeCell ref="B16:C16"/>
    <mergeCell ref="B17:C17"/>
    <mergeCell ref="F20:G20"/>
    <mergeCell ref="I20:J20"/>
    <mergeCell ref="F21:G21"/>
    <mergeCell ref="I21:J21"/>
    <mergeCell ref="Y21:Z21"/>
    <mergeCell ref="F22:G22"/>
    <mergeCell ref="I22:J22"/>
    <mergeCell ref="Y22:Z22"/>
    <mergeCell ref="AI25:AJ25"/>
    <mergeCell ref="M26:N26"/>
    <mergeCell ref="P26:Q26"/>
    <mergeCell ref="S26:T26"/>
    <mergeCell ref="V26:W26"/>
    <mergeCell ref="AC26:AD26"/>
    <mergeCell ref="AE26:AF26"/>
    <mergeCell ref="AI26:AJ26"/>
    <mergeCell ref="M25:N25"/>
    <mergeCell ref="P25:Q25"/>
    <mergeCell ref="S25:T25"/>
    <mergeCell ref="V25:W25"/>
    <mergeCell ref="AC25:AD25"/>
    <mergeCell ref="AE25:AF25"/>
    <mergeCell ref="AI27:AJ27"/>
    <mergeCell ref="M27:N27"/>
    <mergeCell ref="P27:Q27"/>
    <mergeCell ref="S27:T27"/>
    <mergeCell ref="V27:W27"/>
    <mergeCell ref="AC27:AD27"/>
    <mergeCell ref="AE27:AF27"/>
  </mergeCells>
  <phoneticPr fontId="3" type="noConversion"/>
  <printOptions horizontalCentered="1"/>
  <pageMargins left="0.11811023622047245" right="0.11811023622047245" top="0.78740157480314965" bottom="0.15748031496062992" header="0.31496062992125984" footer="0.31496062992125984"/>
  <pageSetup paperSize="9" scale="7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5:AK27"/>
  <sheetViews>
    <sheetView showGridLines="0" zoomScale="70" zoomScaleNormal="70" workbookViewId="0">
      <selection activeCell="AT15" sqref="AT15"/>
    </sheetView>
  </sheetViews>
  <sheetFormatPr defaultColWidth="3.77734375" defaultRowHeight="22.2"/>
  <cols>
    <col min="1" max="1" width="3.77734375" style="9"/>
    <col min="2" max="3" width="3.77734375" style="2"/>
    <col min="4" max="4" width="3.77734375" style="4"/>
    <col min="5" max="10" width="3.77734375" style="3"/>
    <col min="11" max="11" width="3.77734375" style="4"/>
    <col min="12" max="34" width="3.77734375" style="3"/>
    <col min="35" max="16384" width="3.77734375" style="9"/>
  </cols>
  <sheetData>
    <row r="5" spans="2:37">
      <c r="Q5" s="5">
        <v>1872</v>
      </c>
      <c r="R5" s="3" t="s">
        <v>110</v>
      </c>
      <c r="S5" s="3" t="s">
        <v>1</v>
      </c>
      <c r="T5" s="5">
        <v>1868</v>
      </c>
      <c r="U5" s="5"/>
      <c r="V5" s="5"/>
      <c r="W5" s="5"/>
      <c r="AJ5" s="8"/>
      <c r="AK5" s="8"/>
    </row>
    <row r="6" spans="2:37">
      <c r="K6" s="5"/>
      <c r="Q6" s="5" t="s">
        <v>4</v>
      </c>
      <c r="S6" s="3" t="s">
        <v>111</v>
      </c>
      <c r="T6" s="5" t="s">
        <v>4</v>
      </c>
      <c r="U6" s="5"/>
      <c r="V6" s="5"/>
      <c r="W6" s="5"/>
      <c r="AJ6" s="8" t="s">
        <v>37</v>
      </c>
      <c r="AK6" s="8" t="s">
        <v>3</v>
      </c>
    </row>
    <row r="7" spans="2:37">
      <c r="K7" s="5"/>
      <c r="Q7" s="5">
        <v>1938</v>
      </c>
      <c r="R7" s="3" t="s">
        <v>112</v>
      </c>
      <c r="S7" s="3" t="s">
        <v>113</v>
      </c>
      <c r="T7" s="5">
        <v>1919</v>
      </c>
      <c r="U7" s="5"/>
      <c r="V7" s="5"/>
      <c r="W7" s="5"/>
    </row>
    <row r="8" spans="2:37">
      <c r="K8" s="5"/>
      <c r="S8" s="10"/>
    </row>
    <row r="9" spans="2:37">
      <c r="R9" s="53"/>
      <c r="S9" s="10"/>
    </row>
    <row r="10" spans="2:37">
      <c r="Q10" s="5">
        <v>1913</v>
      </c>
      <c r="R10" s="3" t="s">
        <v>21</v>
      </c>
      <c r="S10" s="3" t="s">
        <v>1</v>
      </c>
      <c r="T10" s="5">
        <v>1909</v>
      </c>
      <c r="U10" s="5"/>
      <c r="V10" s="5"/>
      <c r="W10" s="5"/>
    </row>
    <row r="11" spans="2:37">
      <c r="J11" s="4"/>
      <c r="Q11" s="5" t="s">
        <v>4</v>
      </c>
      <c r="R11" s="3" t="s">
        <v>115</v>
      </c>
      <c r="T11" s="5" t="s">
        <v>4</v>
      </c>
      <c r="U11" s="5"/>
      <c r="V11" s="5"/>
      <c r="W11" s="5"/>
      <c r="X11" s="4"/>
      <c r="AB11" s="4"/>
      <c r="AF11" s="4"/>
      <c r="AJ11" s="8" t="s">
        <v>64</v>
      </c>
      <c r="AK11" s="8" t="s">
        <v>3</v>
      </c>
    </row>
    <row r="12" spans="2:37">
      <c r="Q12" s="5">
        <v>1995</v>
      </c>
      <c r="R12" s="3" t="s">
        <v>120</v>
      </c>
      <c r="S12" s="3" t="s">
        <v>121</v>
      </c>
      <c r="T12" s="5">
        <v>2009</v>
      </c>
      <c r="U12" s="5"/>
      <c r="V12" s="5"/>
      <c r="W12" s="5"/>
      <c r="Y12" s="116"/>
      <c r="Z12" s="116"/>
      <c r="AA12" s="116"/>
      <c r="AB12" s="116"/>
    </row>
    <row r="13" spans="2:37">
      <c r="S13" s="10"/>
    </row>
    <row r="14" spans="2:37">
      <c r="C14" s="3"/>
      <c r="D14" s="18"/>
      <c r="E14" s="13"/>
      <c r="F14" s="13"/>
      <c r="G14" s="13"/>
      <c r="H14" s="13"/>
      <c r="I14" s="13"/>
      <c r="J14" s="30"/>
      <c r="K14" s="18"/>
      <c r="L14" s="13"/>
      <c r="M14" s="13"/>
      <c r="N14" s="13"/>
      <c r="O14" s="13"/>
      <c r="P14" s="13"/>
      <c r="Q14" s="13"/>
      <c r="R14" s="30"/>
      <c r="S14" s="18"/>
      <c r="T14" s="13"/>
      <c r="U14" s="13"/>
      <c r="V14" s="13"/>
      <c r="W14" s="13"/>
      <c r="X14" s="13"/>
      <c r="Y14" s="13"/>
      <c r="Z14" s="13"/>
      <c r="AA14" s="18"/>
      <c r="AB14" s="13"/>
      <c r="AC14" s="13"/>
      <c r="AD14" s="13"/>
      <c r="AE14" s="13"/>
      <c r="AF14" s="30"/>
      <c r="AG14" s="10"/>
    </row>
    <row r="15" spans="2:37">
      <c r="B15" s="5">
        <v>1954</v>
      </c>
      <c r="C15" s="3" t="s">
        <v>214</v>
      </c>
      <c r="D15" s="3" t="s">
        <v>1</v>
      </c>
      <c r="E15" s="5">
        <v>1951</v>
      </c>
      <c r="I15" s="5">
        <v>1944</v>
      </c>
      <c r="J15" s="3" t="s">
        <v>261</v>
      </c>
      <c r="K15" s="3" t="s">
        <v>1</v>
      </c>
      <c r="L15" s="5">
        <v>1942</v>
      </c>
      <c r="Q15" s="5">
        <v>1946</v>
      </c>
      <c r="R15" s="3" t="s">
        <v>262</v>
      </c>
      <c r="S15" s="3" t="s">
        <v>1</v>
      </c>
      <c r="T15" s="5">
        <v>1938</v>
      </c>
      <c r="Y15" s="5">
        <v>1934</v>
      </c>
      <c r="Z15" s="3" t="s">
        <v>1</v>
      </c>
      <c r="AA15" s="3" t="s">
        <v>1</v>
      </c>
      <c r="AB15" s="5">
        <v>1931</v>
      </c>
      <c r="AE15" s="5">
        <v>1936</v>
      </c>
      <c r="AF15" s="3" t="s">
        <v>1</v>
      </c>
      <c r="AG15" s="3" t="s">
        <v>1</v>
      </c>
      <c r="AH15" s="5">
        <v>1932</v>
      </c>
    </row>
    <row r="16" spans="2:37">
      <c r="B16" s="5"/>
      <c r="C16" s="3" t="s">
        <v>257</v>
      </c>
      <c r="D16" s="3" t="s">
        <v>75</v>
      </c>
      <c r="E16" s="5"/>
      <c r="I16" s="5"/>
      <c r="J16" s="3" t="s">
        <v>233</v>
      </c>
      <c r="K16" s="3" t="s">
        <v>39</v>
      </c>
      <c r="L16" s="5" t="s">
        <v>4</v>
      </c>
      <c r="Q16" s="5"/>
      <c r="R16" s="3" t="s">
        <v>233</v>
      </c>
      <c r="S16" s="3" t="s">
        <v>41</v>
      </c>
      <c r="T16" s="5"/>
      <c r="Y16" s="5"/>
      <c r="Z16" s="3" t="s">
        <v>263</v>
      </c>
      <c r="AA16" s="3" t="s">
        <v>131</v>
      </c>
      <c r="AB16" s="5"/>
      <c r="AE16" s="5"/>
      <c r="AF16" s="3" t="s">
        <v>7</v>
      </c>
      <c r="AG16" s="3" t="s">
        <v>131</v>
      </c>
      <c r="AH16" s="5"/>
      <c r="AJ16" s="8" t="s">
        <v>93</v>
      </c>
      <c r="AK16" s="8" t="s">
        <v>3</v>
      </c>
    </row>
    <row r="17" spans="1:37" s="25" customFormat="1">
      <c r="B17" s="5"/>
      <c r="C17" s="3" t="s">
        <v>226</v>
      </c>
      <c r="D17" s="3" t="s">
        <v>139</v>
      </c>
      <c r="E17" s="5"/>
      <c r="F17" s="3"/>
      <c r="G17" s="3"/>
      <c r="H17" s="3"/>
      <c r="I17" s="5"/>
      <c r="J17" s="3" t="s">
        <v>213</v>
      </c>
      <c r="K17" s="3" t="s">
        <v>12</v>
      </c>
      <c r="L17" s="5">
        <v>2017</v>
      </c>
      <c r="M17" s="3"/>
      <c r="N17" s="3"/>
      <c r="O17" s="3"/>
      <c r="P17" s="3"/>
      <c r="Q17" s="5"/>
      <c r="R17" s="3" t="s">
        <v>264</v>
      </c>
      <c r="S17" s="3" t="s">
        <v>140</v>
      </c>
      <c r="T17" s="5"/>
      <c r="U17" s="3"/>
      <c r="V17" s="3"/>
      <c r="W17" s="3"/>
      <c r="X17" s="3"/>
      <c r="Y17" s="5"/>
      <c r="Z17" s="3" t="s">
        <v>265</v>
      </c>
      <c r="AA17" s="3" t="s">
        <v>141</v>
      </c>
      <c r="AB17" s="5"/>
      <c r="AC17" s="3"/>
      <c r="AD17" s="3"/>
      <c r="AE17" s="5"/>
      <c r="AF17" s="3" t="s">
        <v>266</v>
      </c>
      <c r="AG17" s="3" t="s">
        <v>142</v>
      </c>
      <c r="AH17" s="5"/>
    </row>
    <row r="18" spans="1:37" s="25" customFormat="1">
      <c r="B18" s="3"/>
      <c r="C18" s="3"/>
      <c r="D18" s="10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9"/>
      <c r="AG18" s="31"/>
      <c r="AH18" s="9"/>
    </row>
    <row r="19" spans="1:37">
      <c r="B19" s="3"/>
      <c r="C19" s="18"/>
      <c r="D19" s="13"/>
      <c r="E19" s="10"/>
      <c r="I19" s="18"/>
      <c r="J19" s="13"/>
      <c r="K19" s="13"/>
      <c r="L19" s="30"/>
      <c r="M19" s="10"/>
      <c r="Q19" s="18"/>
      <c r="R19" s="13"/>
      <c r="S19" s="13"/>
      <c r="T19" s="30"/>
      <c r="U19" s="10"/>
      <c r="Y19" s="18"/>
      <c r="Z19" s="13"/>
      <c r="AA19" s="13"/>
      <c r="AB19" s="30"/>
      <c r="AC19" s="10"/>
      <c r="AF19" s="6"/>
      <c r="AG19" s="10"/>
    </row>
    <row r="20" spans="1:37">
      <c r="A20" s="5">
        <v>1986</v>
      </c>
      <c r="B20" s="116" t="s">
        <v>1</v>
      </c>
      <c r="C20" s="116"/>
      <c r="D20" s="116" t="s">
        <v>1</v>
      </c>
      <c r="E20" s="116"/>
      <c r="F20" s="5">
        <v>1981</v>
      </c>
      <c r="G20" s="5">
        <v>1979</v>
      </c>
      <c r="H20" s="3" t="s">
        <v>222</v>
      </c>
      <c r="I20" s="3" t="s">
        <v>1</v>
      </c>
      <c r="J20" s="5">
        <v>1973</v>
      </c>
      <c r="K20" s="5">
        <v>1970</v>
      </c>
      <c r="L20" s="3" t="s">
        <v>7</v>
      </c>
      <c r="M20" s="3" t="s">
        <v>1</v>
      </c>
      <c r="N20" s="5">
        <v>1970</v>
      </c>
      <c r="O20" s="5">
        <v>1965</v>
      </c>
      <c r="P20" s="3" t="s">
        <v>21</v>
      </c>
      <c r="Q20" s="3" t="s">
        <v>1</v>
      </c>
      <c r="R20" s="5">
        <v>1968</v>
      </c>
      <c r="S20" s="5">
        <v>1965</v>
      </c>
      <c r="T20" s="3" t="s">
        <v>267</v>
      </c>
      <c r="U20" s="3" t="s">
        <v>1</v>
      </c>
      <c r="V20" s="5">
        <v>1966</v>
      </c>
      <c r="W20" s="5">
        <v>1973</v>
      </c>
      <c r="X20" s="3" t="s">
        <v>263</v>
      </c>
      <c r="Y20" s="3" t="s">
        <v>1</v>
      </c>
      <c r="Z20" s="5">
        <v>1971</v>
      </c>
      <c r="AA20" s="5">
        <v>1968</v>
      </c>
      <c r="AB20" s="3" t="s">
        <v>268</v>
      </c>
      <c r="AC20" s="3" t="s">
        <v>1</v>
      </c>
      <c r="AD20" s="5">
        <v>1968</v>
      </c>
      <c r="AE20" s="5">
        <v>1962</v>
      </c>
      <c r="AF20" s="3" t="s">
        <v>11</v>
      </c>
      <c r="AG20" s="3" t="s">
        <v>1</v>
      </c>
      <c r="AH20" s="5">
        <v>1958</v>
      </c>
    </row>
    <row r="21" spans="1:37">
      <c r="B21" s="116" t="s">
        <v>153</v>
      </c>
      <c r="C21" s="116"/>
      <c r="D21" s="116" t="s">
        <v>154</v>
      </c>
      <c r="E21" s="116"/>
      <c r="F21" s="4"/>
      <c r="G21" s="5"/>
      <c r="H21" s="3" t="s">
        <v>269</v>
      </c>
      <c r="I21" s="3" t="s">
        <v>150</v>
      </c>
      <c r="J21" s="5"/>
      <c r="K21" s="5"/>
      <c r="L21" s="3" t="s">
        <v>213</v>
      </c>
      <c r="M21" s="3" t="s">
        <v>155</v>
      </c>
      <c r="N21" s="5"/>
      <c r="O21" s="5"/>
      <c r="P21" s="3" t="s">
        <v>13</v>
      </c>
      <c r="Q21" s="3" t="s">
        <v>156</v>
      </c>
      <c r="R21" s="5"/>
      <c r="S21" s="5"/>
      <c r="T21" s="3" t="s">
        <v>80</v>
      </c>
      <c r="U21" s="3" t="s">
        <v>156</v>
      </c>
      <c r="V21" s="5"/>
      <c r="W21" s="5"/>
      <c r="X21" s="3" t="s">
        <v>132</v>
      </c>
      <c r="Y21" s="3" t="s">
        <v>50</v>
      </c>
      <c r="Z21" s="5"/>
      <c r="AA21" s="5"/>
      <c r="AB21" s="3" t="s">
        <v>132</v>
      </c>
      <c r="AC21" s="3" t="s">
        <v>157</v>
      </c>
      <c r="AD21" s="5"/>
      <c r="AE21" s="5"/>
      <c r="AG21" s="3" t="s">
        <v>76</v>
      </c>
      <c r="AH21" s="5"/>
      <c r="AJ21" s="8" t="s">
        <v>304</v>
      </c>
      <c r="AK21" s="8" t="s">
        <v>3</v>
      </c>
    </row>
    <row r="22" spans="1:37">
      <c r="B22" s="116" t="s">
        <v>171</v>
      </c>
      <c r="C22" s="116"/>
      <c r="D22" s="116" t="s">
        <v>172</v>
      </c>
      <c r="E22" s="116"/>
      <c r="F22" s="4"/>
      <c r="G22" s="5"/>
      <c r="H22" s="3" t="s">
        <v>76</v>
      </c>
      <c r="I22" s="3" t="s">
        <v>173</v>
      </c>
      <c r="J22" s="5"/>
      <c r="K22" s="5"/>
      <c r="L22" s="3" t="s">
        <v>270</v>
      </c>
      <c r="M22" s="3" t="s">
        <v>76</v>
      </c>
      <c r="N22" s="5"/>
      <c r="O22" s="5"/>
      <c r="P22" s="3" t="s">
        <v>271</v>
      </c>
      <c r="Q22" s="3" t="s">
        <v>174</v>
      </c>
      <c r="R22" s="5"/>
      <c r="S22" s="5"/>
      <c r="T22" s="3" t="s">
        <v>272</v>
      </c>
      <c r="U22" s="3" t="s">
        <v>175</v>
      </c>
      <c r="V22" s="5"/>
      <c r="W22" s="5"/>
      <c r="X22" s="3" t="s">
        <v>270</v>
      </c>
      <c r="Y22" s="3" t="s">
        <v>176</v>
      </c>
      <c r="Z22" s="5"/>
      <c r="AA22" s="5"/>
      <c r="AB22" s="3" t="s">
        <v>273</v>
      </c>
      <c r="AC22" s="3" t="s">
        <v>177</v>
      </c>
      <c r="AD22" s="5"/>
      <c r="AE22" s="5"/>
      <c r="AF22" s="3" t="s">
        <v>274</v>
      </c>
      <c r="AG22" s="3" t="s">
        <v>178</v>
      </c>
      <c r="AH22" s="5"/>
    </row>
    <row r="23" spans="1:37">
      <c r="I23" s="10"/>
      <c r="K23" s="9"/>
      <c r="P23" s="9"/>
      <c r="Q23" s="31"/>
      <c r="R23" s="9"/>
      <c r="Y23" s="9"/>
      <c r="Z23" s="9"/>
      <c r="AC23" s="10"/>
      <c r="AF23" s="6"/>
      <c r="AG23" s="36"/>
      <c r="AH23" s="6"/>
    </row>
    <row r="24" spans="1:37">
      <c r="H24" s="18"/>
      <c r="I24" s="13"/>
      <c r="J24" s="10"/>
      <c r="K24" s="9"/>
      <c r="P24" s="6"/>
      <c r="Q24" s="10"/>
      <c r="R24" s="9"/>
      <c r="Y24" s="9"/>
      <c r="Z24" s="9"/>
      <c r="AB24" s="18"/>
      <c r="AC24" s="13"/>
      <c r="AD24" s="10"/>
      <c r="AF24" s="6"/>
      <c r="AG24" s="10"/>
    </row>
    <row r="25" spans="1:37" s="25" customFormat="1">
      <c r="B25" s="2"/>
      <c r="C25" s="2"/>
      <c r="D25" s="4"/>
      <c r="E25" s="2"/>
      <c r="F25" s="5">
        <v>2007</v>
      </c>
      <c r="G25" s="116" t="s">
        <v>1</v>
      </c>
      <c r="H25" s="116"/>
      <c r="I25" s="116" t="s">
        <v>1</v>
      </c>
      <c r="J25" s="116"/>
      <c r="K25" s="5">
        <v>2004</v>
      </c>
      <c r="L25" s="3"/>
      <c r="M25" s="3"/>
      <c r="N25" s="3"/>
      <c r="O25" s="3"/>
      <c r="P25" s="116" t="s">
        <v>1</v>
      </c>
      <c r="Q25" s="116"/>
      <c r="R25" s="5" t="s">
        <v>228</v>
      </c>
      <c r="S25" s="3"/>
      <c r="T25" s="3"/>
      <c r="U25" s="3"/>
      <c r="V25" s="3"/>
      <c r="W25" s="3"/>
      <c r="X25" s="3"/>
      <c r="Z25" s="5">
        <v>2001</v>
      </c>
      <c r="AA25" s="116" t="s">
        <v>1</v>
      </c>
      <c r="AB25" s="116"/>
      <c r="AC25" s="116" t="s">
        <v>1</v>
      </c>
      <c r="AD25" s="116"/>
      <c r="AE25" s="5">
        <v>1999</v>
      </c>
      <c r="AF25" s="116" t="s">
        <v>1</v>
      </c>
      <c r="AG25" s="116"/>
      <c r="AH25" s="5">
        <v>1990</v>
      </c>
    </row>
    <row r="26" spans="1:37" s="25" customFormat="1">
      <c r="B26" s="2"/>
      <c r="C26" s="2"/>
      <c r="D26" s="4"/>
      <c r="E26" s="2"/>
      <c r="F26" s="3"/>
      <c r="G26" s="116" t="s">
        <v>189</v>
      </c>
      <c r="H26" s="116"/>
      <c r="I26" s="116" t="s">
        <v>189</v>
      </c>
      <c r="J26" s="116"/>
      <c r="L26" s="3"/>
      <c r="M26" s="3"/>
      <c r="N26" s="3"/>
      <c r="O26" s="3"/>
      <c r="P26" s="116" t="s">
        <v>190</v>
      </c>
      <c r="Q26" s="116"/>
      <c r="S26" s="3"/>
      <c r="T26" s="3"/>
      <c r="U26" s="3"/>
      <c r="V26" s="3"/>
      <c r="W26" s="3"/>
      <c r="X26" s="3"/>
      <c r="AA26" s="116" t="s">
        <v>191</v>
      </c>
      <c r="AB26" s="116"/>
      <c r="AC26" s="116" t="s">
        <v>192</v>
      </c>
      <c r="AD26" s="116"/>
      <c r="AE26" s="4"/>
      <c r="AF26" s="116" t="s">
        <v>193</v>
      </c>
      <c r="AG26" s="116"/>
      <c r="AH26" s="4"/>
      <c r="AJ26" s="8" t="s">
        <v>307</v>
      </c>
      <c r="AK26" s="8" t="s">
        <v>3</v>
      </c>
    </row>
    <row r="27" spans="1:37">
      <c r="E27" s="2"/>
      <c r="G27" s="116" t="s">
        <v>60</v>
      </c>
      <c r="H27" s="116"/>
      <c r="I27" s="116" t="s">
        <v>200</v>
      </c>
      <c r="J27" s="116"/>
      <c r="P27" s="116" t="s">
        <v>201</v>
      </c>
      <c r="Q27" s="116"/>
      <c r="AA27" s="116" t="s">
        <v>202</v>
      </c>
      <c r="AB27" s="116"/>
      <c r="AC27" s="116" t="s">
        <v>202</v>
      </c>
      <c r="AD27" s="116"/>
      <c r="AE27" s="4"/>
      <c r="AF27" s="116" t="s">
        <v>203</v>
      </c>
      <c r="AG27" s="116"/>
      <c r="AH27" s="4"/>
    </row>
  </sheetData>
  <mergeCells count="25">
    <mergeCell ref="AF25:AG25"/>
    <mergeCell ref="Y12:AB12"/>
    <mergeCell ref="B20:C20"/>
    <mergeCell ref="D20:E20"/>
    <mergeCell ref="B21:C21"/>
    <mergeCell ref="D21:E21"/>
    <mergeCell ref="B22:C22"/>
    <mergeCell ref="D22:E22"/>
    <mergeCell ref="G25:H25"/>
    <mergeCell ref="I25:J25"/>
    <mergeCell ref="P25:Q25"/>
    <mergeCell ref="AA25:AB25"/>
    <mergeCell ref="AC25:AD25"/>
    <mergeCell ref="AF27:AG27"/>
    <mergeCell ref="G26:H26"/>
    <mergeCell ref="I26:J26"/>
    <mergeCell ref="P26:Q26"/>
    <mergeCell ref="AA26:AB26"/>
    <mergeCell ref="AC26:AD26"/>
    <mergeCell ref="AF26:AG26"/>
    <mergeCell ref="G27:H27"/>
    <mergeCell ref="I27:J27"/>
    <mergeCell ref="P27:Q27"/>
    <mergeCell ref="AA27:AB27"/>
    <mergeCell ref="AC27:AD27"/>
  </mergeCells>
  <phoneticPr fontId="3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8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B1:AW39"/>
  <sheetViews>
    <sheetView showGridLines="0" zoomScale="70" zoomScaleNormal="70" workbookViewId="0">
      <selection activeCell="AU12" sqref="AU12"/>
    </sheetView>
  </sheetViews>
  <sheetFormatPr defaultColWidth="3.77734375" defaultRowHeight="22.2"/>
  <cols>
    <col min="1" max="1" width="3.77734375" style="9"/>
    <col min="2" max="2" width="3.77734375" style="7"/>
    <col min="3" max="9" width="3.77734375" style="3"/>
    <col min="10" max="11" width="3.77734375" style="7"/>
    <col min="12" max="15" width="3.77734375" style="3"/>
    <col min="16" max="18" width="3.77734375" style="7"/>
    <col min="19" max="23" width="3.77734375" style="3"/>
    <col min="24" max="29" width="3.77734375" style="7"/>
    <col min="30" max="30" width="3.77734375" style="3"/>
    <col min="31" max="32" width="3.77734375" style="6"/>
    <col min="33" max="33" width="3.77734375" style="7"/>
    <col min="34" max="34" width="3.77734375" style="6"/>
    <col min="35" max="37" width="3.77734375" style="1"/>
    <col min="38" max="41" width="3.77734375" style="7"/>
    <col min="42" max="16384" width="3.77734375" style="9"/>
  </cols>
  <sheetData>
    <row r="1" spans="2:49">
      <c r="M1" s="4"/>
      <c r="O1" s="7"/>
      <c r="R1" s="3"/>
      <c r="W1" s="7"/>
      <c r="AE1" s="3"/>
      <c r="AF1" s="3"/>
      <c r="AH1" s="3"/>
    </row>
    <row r="2" spans="2:49">
      <c r="M2" s="4"/>
      <c r="O2" s="7"/>
      <c r="R2" s="3"/>
      <c r="W2" s="7"/>
      <c r="AE2" s="3"/>
      <c r="AF2" s="3"/>
      <c r="AH2" s="3"/>
    </row>
    <row r="3" spans="2:49">
      <c r="M3" s="4"/>
      <c r="O3" s="7"/>
      <c r="R3" s="3"/>
      <c r="W3" s="7"/>
      <c r="AE3" s="3"/>
      <c r="AF3" s="3"/>
      <c r="AH3" s="3"/>
    </row>
    <row r="4" spans="2:49">
      <c r="M4" s="4"/>
      <c r="O4" s="7"/>
      <c r="R4" s="5">
        <v>1872</v>
      </c>
      <c r="S4" s="3" t="s">
        <v>110</v>
      </c>
      <c r="T4" s="3" t="s">
        <v>1</v>
      </c>
      <c r="W4" s="7"/>
      <c r="AE4" s="3"/>
      <c r="AF4" s="3"/>
      <c r="AH4" s="3"/>
      <c r="AN4" s="8"/>
      <c r="AO4" s="8"/>
    </row>
    <row r="5" spans="2:49">
      <c r="M5" s="5"/>
      <c r="O5" s="7"/>
      <c r="R5" s="5" t="s">
        <v>4</v>
      </c>
      <c r="T5" s="3" t="s">
        <v>111</v>
      </c>
      <c r="W5" s="7"/>
      <c r="AE5" s="3"/>
      <c r="AF5" s="3"/>
      <c r="AH5" s="3"/>
      <c r="AN5" s="8" t="s">
        <v>37</v>
      </c>
      <c r="AO5" s="8" t="s">
        <v>3</v>
      </c>
    </row>
    <row r="6" spans="2:49">
      <c r="M6" s="5"/>
      <c r="O6" s="7"/>
      <c r="R6" s="5">
        <v>1938</v>
      </c>
      <c r="S6" s="3" t="s">
        <v>112</v>
      </c>
      <c r="T6" s="3" t="s">
        <v>113</v>
      </c>
      <c r="W6" s="7"/>
      <c r="AE6" s="3"/>
      <c r="AF6" s="3"/>
      <c r="AH6" s="3"/>
      <c r="AN6" s="9"/>
      <c r="AO6" s="9"/>
    </row>
    <row r="7" spans="2:49">
      <c r="M7" s="5"/>
      <c r="O7" s="7"/>
      <c r="R7" s="3"/>
      <c r="T7" s="10"/>
      <c r="W7" s="7"/>
      <c r="AE7" s="3"/>
      <c r="AF7" s="3"/>
      <c r="AH7" s="3"/>
      <c r="AN7" s="9"/>
      <c r="AO7" s="9"/>
    </row>
    <row r="8" spans="2:49">
      <c r="O8" s="7"/>
      <c r="R8" s="3"/>
      <c r="T8" s="10"/>
      <c r="W8" s="7"/>
      <c r="AE8" s="8"/>
      <c r="AF8" s="8"/>
      <c r="AN8" s="9"/>
      <c r="AO8" s="9"/>
    </row>
    <row r="9" spans="2:49">
      <c r="O9" s="7"/>
      <c r="R9" s="5">
        <v>1919</v>
      </c>
      <c r="S9" s="3" t="s">
        <v>114</v>
      </c>
      <c r="T9" s="3" t="s">
        <v>1</v>
      </c>
      <c r="U9" s="5">
        <v>1917</v>
      </c>
      <c r="W9" s="7"/>
      <c r="AE9" s="8"/>
      <c r="AF9" s="8"/>
      <c r="AN9" s="9"/>
      <c r="AO9" s="9"/>
    </row>
    <row r="10" spans="2:49">
      <c r="O10" s="7"/>
      <c r="R10" s="5" t="s">
        <v>4</v>
      </c>
      <c r="U10" s="5" t="s">
        <v>4</v>
      </c>
      <c r="W10" s="7"/>
      <c r="AE10" s="8"/>
      <c r="AF10" s="8"/>
      <c r="AN10" s="8" t="s">
        <v>64</v>
      </c>
      <c r="AO10" s="8" t="s">
        <v>3</v>
      </c>
    </row>
    <row r="11" spans="2:49">
      <c r="O11" s="7"/>
      <c r="R11" s="5">
        <v>1980</v>
      </c>
      <c r="S11" s="3" t="s">
        <v>118</v>
      </c>
      <c r="T11" s="3" t="s">
        <v>119</v>
      </c>
      <c r="U11" s="5">
        <v>2002</v>
      </c>
      <c r="W11" s="7"/>
      <c r="AE11" s="8"/>
      <c r="AF11" s="8"/>
      <c r="AN11" s="9"/>
      <c r="AO11" s="9"/>
    </row>
    <row r="12" spans="2:49">
      <c r="O12" s="7"/>
      <c r="R12" s="3"/>
      <c r="T12" s="10"/>
      <c r="W12" s="7"/>
      <c r="AE12" s="8"/>
      <c r="AF12" s="8"/>
      <c r="AN12" s="9"/>
      <c r="AO12" s="9"/>
    </row>
    <row r="13" spans="2:49">
      <c r="G13" s="18"/>
      <c r="H13" s="13"/>
      <c r="I13" s="13"/>
      <c r="J13" s="13"/>
      <c r="K13" s="13"/>
      <c r="L13" s="13"/>
      <c r="M13" s="13"/>
      <c r="N13" s="18"/>
      <c r="O13" s="13"/>
      <c r="P13" s="13"/>
      <c r="Q13" s="13"/>
      <c r="R13" s="22"/>
      <c r="S13" s="30"/>
      <c r="T13" s="18"/>
      <c r="U13" s="22"/>
      <c r="V13" s="22"/>
      <c r="W13" s="22"/>
      <c r="X13" s="13"/>
      <c r="Y13" s="13"/>
      <c r="Z13" s="18"/>
      <c r="AA13" s="13"/>
      <c r="AB13" s="22"/>
      <c r="AC13" s="22"/>
      <c r="AD13" s="13"/>
      <c r="AE13" s="18"/>
      <c r="AF13" s="20"/>
      <c r="AG13" s="22"/>
      <c r="AH13" s="21"/>
      <c r="AI13" s="39"/>
      <c r="AJ13" s="15"/>
      <c r="AN13" s="9"/>
      <c r="AO13" s="9"/>
    </row>
    <row r="14" spans="2:49">
      <c r="E14" s="5">
        <v>1956</v>
      </c>
      <c r="F14" s="3" t="s">
        <v>1</v>
      </c>
      <c r="G14" s="3" t="s">
        <v>1</v>
      </c>
      <c r="H14" s="5">
        <v>1955</v>
      </c>
      <c r="J14" s="3"/>
      <c r="K14" s="3"/>
      <c r="L14" s="5">
        <v>1953</v>
      </c>
      <c r="M14" s="3" t="s">
        <v>114</v>
      </c>
      <c r="N14" s="3" t="s">
        <v>1</v>
      </c>
      <c r="O14" s="5">
        <v>1950</v>
      </c>
      <c r="P14" s="3"/>
      <c r="Q14" s="3"/>
      <c r="R14" s="5">
        <v>1951</v>
      </c>
      <c r="S14" s="3" t="s">
        <v>7</v>
      </c>
      <c r="T14" s="3" t="s">
        <v>1</v>
      </c>
      <c r="U14" s="5">
        <v>1947</v>
      </c>
      <c r="V14" s="5">
        <v>1971</v>
      </c>
      <c r="W14" s="3" t="s">
        <v>275</v>
      </c>
      <c r="X14" s="5">
        <v>1943</v>
      </c>
      <c r="Y14" s="3" t="s">
        <v>276</v>
      </c>
      <c r="Z14" s="3" t="s">
        <v>1</v>
      </c>
      <c r="AA14" s="5">
        <v>1942</v>
      </c>
      <c r="AC14" s="5">
        <v>1940</v>
      </c>
      <c r="AD14" s="3" t="s">
        <v>212</v>
      </c>
      <c r="AE14" s="3" t="s">
        <v>1</v>
      </c>
      <c r="AF14" s="5">
        <v>1939</v>
      </c>
      <c r="AH14" s="5">
        <v>1937</v>
      </c>
      <c r="AI14" s="3" t="s">
        <v>1</v>
      </c>
      <c r="AJ14" s="3" t="s">
        <v>1</v>
      </c>
      <c r="AK14" s="5">
        <v>1936</v>
      </c>
      <c r="AN14" s="9"/>
      <c r="AO14" s="9"/>
    </row>
    <row r="15" spans="2:49">
      <c r="E15" s="5"/>
      <c r="F15" s="3" t="s">
        <v>110</v>
      </c>
      <c r="G15" s="3" t="s">
        <v>124</v>
      </c>
      <c r="H15" s="5"/>
      <c r="J15" s="3"/>
      <c r="K15" s="3"/>
      <c r="L15" s="5"/>
      <c r="M15" s="3" t="s">
        <v>194</v>
      </c>
      <c r="N15" s="3" t="s">
        <v>125</v>
      </c>
      <c r="O15" s="5"/>
      <c r="P15" s="3"/>
      <c r="Q15" s="3"/>
      <c r="R15" s="5"/>
      <c r="S15" s="3" t="s">
        <v>247</v>
      </c>
      <c r="T15" s="3" t="s">
        <v>126</v>
      </c>
      <c r="U15" s="5"/>
      <c r="V15" s="7"/>
      <c r="W15" s="3" t="s">
        <v>277</v>
      </c>
      <c r="X15" s="5" t="s">
        <v>4</v>
      </c>
      <c r="Y15" s="3" t="s">
        <v>115</v>
      </c>
      <c r="Z15" s="3" t="s">
        <v>127</v>
      </c>
      <c r="AA15" s="5"/>
      <c r="AC15" s="5"/>
      <c r="AD15" s="3" t="s">
        <v>213</v>
      </c>
      <c r="AE15" s="3" t="s">
        <v>128</v>
      </c>
      <c r="AF15" s="5"/>
      <c r="AH15" s="5"/>
      <c r="AI15" s="3" t="s">
        <v>7</v>
      </c>
      <c r="AJ15" s="3" t="s">
        <v>129</v>
      </c>
      <c r="AK15" s="5"/>
      <c r="AN15" s="8" t="s">
        <v>93</v>
      </c>
      <c r="AO15" s="8" t="s">
        <v>3</v>
      </c>
    </row>
    <row r="16" spans="2:49" s="25" customFormat="1">
      <c r="B16" s="27"/>
      <c r="C16" s="3"/>
      <c r="D16" s="3"/>
      <c r="E16" s="5"/>
      <c r="F16" s="3" t="s">
        <v>277</v>
      </c>
      <c r="G16" s="3" t="s">
        <v>133</v>
      </c>
      <c r="H16" s="5"/>
      <c r="I16" s="3"/>
      <c r="J16" s="3"/>
      <c r="K16" s="3"/>
      <c r="L16" s="5"/>
      <c r="M16" s="3" t="s">
        <v>245</v>
      </c>
      <c r="N16" s="3" t="s">
        <v>134</v>
      </c>
      <c r="O16" s="5"/>
      <c r="P16" s="3"/>
      <c r="Q16" s="3"/>
      <c r="R16" s="5"/>
      <c r="S16" s="3" t="s">
        <v>235</v>
      </c>
      <c r="T16" s="3" t="s">
        <v>135</v>
      </c>
      <c r="U16" s="5"/>
      <c r="V16" s="27"/>
      <c r="W16" s="3" t="s">
        <v>272</v>
      </c>
      <c r="X16" s="5">
        <v>2000</v>
      </c>
      <c r="Y16" s="3" t="s">
        <v>278</v>
      </c>
      <c r="Z16" s="3" t="s">
        <v>136</v>
      </c>
      <c r="AA16" s="5"/>
      <c r="AB16" s="27"/>
      <c r="AC16" s="5"/>
      <c r="AD16" s="3" t="s">
        <v>244</v>
      </c>
      <c r="AE16" s="3" t="s">
        <v>137</v>
      </c>
      <c r="AF16" s="5"/>
      <c r="AG16" s="27"/>
      <c r="AH16" s="5"/>
      <c r="AI16" s="3" t="s">
        <v>279</v>
      </c>
      <c r="AJ16" s="3" t="s">
        <v>138</v>
      </c>
      <c r="AK16" s="5"/>
      <c r="AL16" s="27"/>
      <c r="AM16" s="27"/>
      <c r="AV16" s="9"/>
      <c r="AW16" s="9"/>
    </row>
    <row r="17" spans="2:49" s="25" customFormat="1">
      <c r="B17" s="27"/>
      <c r="D17" s="3"/>
      <c r="E17" s="3"/>
      <c r="F17" s="3" t="s">
        <v>216</v>
      </c>
      <c r="G17" s="28"/>
      <c r="H17" s="3"/>
      <c r="I17" s="3"/>
      <c r="J17" s="3"/>
      <c r="K17" s="3"/>
      <c r="L17" s="3"/>
      <c r="M17" s="3"/>
      <c r="N17" s="28"/>
      <c r="O17" s="3"/>
      <c r="P17" s="3"/>
      <c r="Q17" s="3"/>
      <c r="R17" s="3"/>
      <c r="S17" s="3"/>
      <c r="T17" s="10"/>
      <c r="U17" s="3"/>
      <c r="V17" s="27"/>
      <c r="W17" s="27"/>
      <c r="X17" s="3"/>
      <c r="Y17" s="3"/>
      <c r="Z17" s="10"/>
      <c r="AA17" s="3"/>
      <c r="AB17" s="27"/>
      <c r="AC17" s="3"/>
      <c r="AD17" s="3"/>
      <c r="AE17" s="10"/>
      <c r="AF17" s="3"/>
      <c r="AG17" s="27"/>
      <c r="AH17" s="3"/>
      <c r="AI17" s="3" t="s">
        <v>122</v>
      </c>
      <c r="AJ17" s="10"/>
      <c r="AK17" s="3"/>
      <c r="AL17" s="27"/>
      <c r="AM17" s="27"/>
      <c r="AV17" s="9"/>
      <c r="AW17" s="9"/>
    </row>
    <row r="18" spans="2:49">
      <c r="C18" s="9"/>
      <c r="E18" s="18"/>
      <c r="F18" s="13"/>
      <c r="G18" s="13"/>
      <c r="H18" s="30"/>
      <c r="I18" s="10"/>
      <c r="J18" s="3"/>
      <c r="K18" s="3"/>
      <c r="L18" s="18"/>
      <c r="M18" s="13"/>
      <c r="N18" s="13"/>
      <c r="O18" s="30"/>
      <c r="P18" s="10"/>
      <c r="Q18" s="3"/>
      <c r="S18" s="6"/>
      <c r="T18" s="10"/>
      <c r="U18" s="8"/>
      <c r="V18" s="7"/>
      <c r="W18" s="7"/>
      <c r="X18" s="3"/>
      <c r="Y18" s="18"/>
      <c r="Z18" s="13"/>
      <c r="AA18" s="10"/>
      <c r="AD18" s="6"/>
      <c r="AE18" s="10"/>
      <c r="AF18" s="8"/>
      <c r="AH18" s="3"/>
      <c r="AI18" s="18"/>
      <c r="AJ18" s="13"/>
      <c r="AK18" s="10"/>
      <c r="AN18" s="9"/>
      <c r="AO18" s="9"/>
    </row>
    <row r="19" spans="2:49">
      <c r="C19" s="5">
        <v>1984</v>
      </c>
      <c r="D19" s="3" t="s">
        <v>280</v>
      </c>
      <c r="E19" s="3" t="s">
        <v>1</v>
      </c>
      <c r="F19" s="5">
        <v>1984</v>
      </c>
      <c r="G19" s="5">
        <v>1981</v>
      </c>
      <c r="H19" s="3" t="s">
        <v>238</v>
      </c>
      <c r="I19" s="3" t="s">
        <v>1</v>
      </c>
      <c r="J19" s="5">
        <v>1981</v>
      </c>
      <c r="K19" s="116" t="s">
        <v>1</v>
      </c>
      <c r="L19" s="116"/>
      <c r="M19" s="5">
        <v>1987</v>
      </c>
      <c r="N19" s="5">
        <v>1985</v>
      </c>
      <c r="O19" s="3" t="s">
        <v>281</v>
      </c>
      <c r="P19" s="3" t="s">
        <v>1</v>
      </c>
      <c r="Q19" s="5">
        <v>1985</v>
      </c>
      <c r="R19" s="5">
        <v>1978</v>
      </c>
      <c r="S19" s="3" t="s">
        <v>249</v>
      </c>
      <c r="T19" s="3" t="s">
        <v>1</v>
      </c>
      <c r="U19" s="5">
        <v>1976</v>
      </c>
      <c r="V19" s="7"/>
      <c r="W19" s="5">
        <v>1971</v>
      </c>
      <c r="X19" s="116" t="s">
        <v>1</v>
      </c>
      <c r="Y19" s="116"/>
      <c r="Z19" s="116" t="s">
        <v>1</v>
      </c>
      <c r="AA19" s="116"/>
      <c r="AB19" s="5">
        <v>1969</v>
      </c>
      <c r="AC19" s="5">
        <v>1973</v>
      </c>
      <c r="AD19" s="3" t="s">
        <v>282</v>
      </c>
      <c r="AE19" s="3" t="s">
        <v>1</v>
      </c>
      <c r="AF19" s="5">
        <v>1973</v>
      </c>
      <c r="AG19" s="5">
        <v>1973</v>
      </c>
      <c r="AH19" s="116" t="s">
        <v>1</v>
      </c>
      <c r="AI19" s="116"/>
      <c r="AJ19" s="116" t="s">
        <v>1</v>
      </c>
      <c r="AK19" s="116"/>
      <c r="AL19" s="5">
        <v>1960</v>
      </c>
      <c r="AN19" s="9"/>
      <c r="AO19" s="9"/>
    </row>
    <row r="20" spans="2:49">
      <c r="C20" s="5"/>
      <c r="D20" s="3" t="s">
        <v>283</v>
      </c>
      <c r="E20" s="3" t="s">
        <v>147</v>
      </c>
      <c r="F20" s="5"/>
      <c r="G20" s="5"/>
      <c r="H20" s="3" t="s">
        <v>284</v>
      </c>
      <c r="I20" s="3" t="s">
        <v>40</v>
      </c>
      <c r="J20" s="5"/>
      <c r="K20" s="116" t="s">
        <v>148</v>
      </c>
      <c r="L20" s="116"/>
      <c r="M20" s="5"/>
      <c r="N20" s="5"/>
      <c r="O20" s="3" t="s">
        <v>285</v>
      </c>
      <c r="P20" s="3" t="s">
        <v>148</v>
      </c>
      <c r="Q20" s="5"/>
      <c r="R20" s="5"/>
      <c r="S20" s="3" t="s">
        <v>286</v>
      </c>
      <c r="T20" s="3" t="s">
        <v>149</v>
      </c>
      <c r="U20" s="5"/>
      <c r="V20" s="7"/>
      <c r="W20" s="7"/>
      <c r="X20" s="116" t="s">
        <v>150</v>
      </c>
      <c r="Y20" s="116"/>
      <c r="Z20" s="116" t="s">
        <v>150</v>
      </c>
      <c r="AA20" s="116"/>
      <c r="AC20" s="5"/>
      <c r="AD20" s="3" t="s">
        <v>277</v>
      </c>
      <c r="AE20" s="3" t="s">
        <v>151</v>
      </c>
      <c r="AF20" s="5"/>
      <c r="AH20" s="116" t="s">
        <v>152</v>
      </c>
      <c r="AI20" s="116"/>
      <c r="AJ20" s="116" t="s">
        <v>76</v>
      </c>
      <c r="AK20" s="116"/>
      <c r="AL20" s="5" t="s">
        <v>4</v>
      </c>
      <c r="AN20" s="8" t="s">
        <v>304</v>
      </c>
      <c r="AO20" s="8" t="s">
        <v>3</v>
      </c>
    </row>
    <row r="21" spans="2:49">
      <c r="C21" s="5"/>
      <c r="D21" s="3" t="s">
        <v>246</v>
      </c>
      <c r="E21" s="3" t="s">
        <v>162</v>
      </c>
      <c r="F21" s="5"/>
      <c r="G21" s="5"/>
      <c r="H21" s="3" t="s">
        <v>287</v>
      </c>
      <c r="I21" s="3" t="s">
        <v>163</v>
      </c>
      <c r="J21" s="5"/>
      <c r="K21" s="116" t="s">
        <v>164</v>
      </c>
      <c r="L21" s="116"/>
      <c r="M21" s="5"/>
      <c r="N21" s="5"/>
      <c r="O21" s="3" t="s">
        <v>288</v>
      </c>
      <c r="P21" s="3" t="s">
        <v>165</v>
      </c>
      <c r="Q21" s="5"/>
      <c r="R21" s="5"/>
      <c r="S21" s="3" t="s">
        <v>289</v>
      </c>
      <c r="T21" s="3" t="s">
        <v>166</v>
      </c>
      <c r="U21" s="5"/>
      <c r="V21" s="7"/>
      <c r="W21" s="7"/>
      <c r="X21" s="116" t="s">
        <v>167</v>
      </c>
      <c r="Y21" s="116"/>
      <c r="Z21" s="116" t="s">
        <v>168</v>
      </c>
      <c r="AA21" s="116"/>
      <c r="AC21" s="5"/>
      <c r="AD21" s="3" t="s">
        <v>290</v>
      </c>
      <c r="AE21" s="3" t="s">
        <v>169</v>
      </c>
      <c r="AF21" s="5"/>
      <c r="AH21" s="116" t="s">
        <v>106</v>
      </c>
      <c r="AI21" s="116"/>
      <c r="AJ21" s="116" t="s">
        <v>170</v>
      </c>
      <c r="AK21" s="116"/>
      <c r="AL21" s="5">
        <v>1972</v>
      </c>
      <c r="AN21" s="9"/>
      <c r="AO21" s="9"/>
    </row>
    <row r="22" spans="2:49">
      <c r="E22" s="10"/>
      <c r="G22" s="7"/>
      <c r="H22" s="7"/>
      <c r="I22" s="47"/>
      <c r="N22" s="9"/>
      <c r="O22" s="7"/>
      <c r="P22" s="47"/>
      <c r="W22" s="7"/>
      <c r="AC22" s="3"/>
      <c r="AE22" s="10"/>
      <c r="AF22" s="3"/>
      <c r="AN22" s="9"/>
      <c r="AO22" s="9"/>
    </row>
    <row r="23" spans="2:49">
      <c r="D23" s="18"/>
      <c r="E23" s="13"/>
      <c r="F23" s="10"/>
      <c r="G23" s="7"/>
      <c r="H23" s="6"/>
      <c r="I23" s="10"/>
      <c r="N23" s="9"/>
      <c r="O23" s="6"/>
      <c r="P23" s="10"/>
      <c r="W23" s="7"/>
      <c r="AC23" s="3"/>
      <c r="AD23" s="18"/>
      <c r="AE23" s="13"/>
      <c r="AF23" s="10"/>
      <c r="AN23" s="9"/>
      <c r="AO23" s="9"/>
    </row>
    <row r="24" spans="2:49" s="25" customFormat="1">
      <c r="B24" s="5">
        <v>2016</v>
      </c>
      <c r="C24" s="116" t="s">
        <v>1</v>
      </c>
      <c r="D24" s="116"/>
      <c r="E24" s="116" t="s">
        <v>1</v>
      </c>
      <c r="F24" s="116"/>
      <c r="G24" s="5">
        <v>2013</v>
      </c>
      <c r="H24" s="116" t="s">
        <v>1</v>
      </c>
      <c r="I24" s="116"/>
      <c r="J24" s="5">
        <v>2017</v>
      </c>
      <c r="K24" s="27"/>
      <c r="L24" s="3"/>
      <c r="M24" s="3"/>
      <c r="O24" s="116" t="s">
        <v>1</v>
      </c>
      <c r="P24" s="116"/>
      <c r="Q24" s="5">
        <v>2015</v>
      </c>
      <c r="R24" s="27"/>
      <c r="S24" s="3"/>
      <c r="T24" s="3"/>
      <c r="U24" s="3"/>
      <c r="V24" s="3"/>
      <c r="W24" s="27"/>
      <c r="X24" s="27"/>
      <c r="Y24" s="27"/>
      <c r="Z24" s="27"/>
      <c r="AA24" s="27"/>
      <c r="AB24" s="5">
        <v>2008</v>
      </c>
      <c r="AC24" s="116" t="s">
        <v>1</v>
      </c>
      <c r="AD24" s="116"/>
      <c r="AE24" s="116" t="s">
        <v>1</v>
      </c>
      <c r="AF24" s="116"/>
      <c r="AG24" s="5">
        <v>2006</v>
      </c>
      <c r="AH24" s="26"/>
      <c r="AI24" s="1"/>
      <c r="AJ24" s="1"/>
      <c r="AK24" s="1"/>
      <c r="AL24" s="27"/>
      <c r="AM24" s="27"/>
    </row>
    <row r="25" spans="2:49" s="25" customFormat="1">
      <c r="B25" s="27"/>
      <c r="C25" s="116" t="s">
        <v>186</v>
      </c>
      <c r="D25" s="116"/>
      <c r="E25" s="116" t="s">
        <v>42</v>
      </c>
      <c r="F25" s="116"/>
      <c r="G25" s="27"/>
      <c r="H25" s="116" t="s">
        <v>187</v>
      </c>
      <c r="I25" s="116"/>
      <c r="J25" s="27"/>
      <c r="K25" s="27"/>
      <c r="L25" s="3"/>
      <c r="M25" s="3"/>
      <c r="O25" s="116" t="s">
        <v>188</v>
      </c>
      <c r="P25" s="116"/>
      <c r="Q25" s="27"/>
      <c r="R25" s="27"/>
      <c r="S25" s="3"/>
      <c r="T25" s="3"/>
      <c r="U25" s="3"/>
      <c r="V25" s="3"/>
      <c r="W25" s="27"/>
      <c r="X25" s="27"/>
      <c r="Y25" s="27"/>
      <c r="Z25" s="27"/>
      <c r="AA25" s="27"/>
      <c r="AB25" s="27"/>
      <c r="AC25" s="116" t="s">
        <v>111</v>
      </c>
      <c r="AD25" s="116"/>
      <c r="AE25" s="116" t="s">
        <v>89</v>
      </c>
      <c r="AF25" s="116"/>
      <c r="AG25" s="27"/>
      <c r="AH25" s="26"/>
      <c r="AI25" s="1"/>
      <c r="AJ25" s="1"/>
      <c r="AK25" s="1"/>
      <c r="AL25" s="27"/>
      <c r="AM25" s="27"/>
      <c r="AN25" s="8" t="s">
        <v>307</v>
      </c>
      <c r="AO25" s="8" t="s">
        <v>3</v>
      </c>
    </row>
    <row r="26" spans="2:49">
      <c r="C26" s="116" t="s">
        <v>153</v>
      </c>
      <c r="D26" s="116"/>
      <c r="E26" s="116" t="s">
        <v>197</v>
      </c>
      <c r="F26" s="116"/>
      <c r="G26" s="7"/>
      <c r="H26" s="116" t="s">
        <v>198</v>
      </c>
      <c r="I26" s="116"/>
      <c r="O26" s="116" t="s">
        <v>199</v>
      </c>
      <c r="P26" s="116"/>
      <c r="AC26" s="116" t="s">
        <v>96</v>
      </c>
      <c r="AD26" s="116"/>
      <c r="AE26" s="116" t="s">
        <v>70</v>
      </c>
      <c r="AF26" s="116"/>
      <c r="AN26" s="9"/>
      <c r="AO26" s="9"/>
    </row>
    <row r="30" spans="2:49">
      <c r="Z30" s="3"/>
      <c r="AA30" s="3"/>
      <c r="AB30" s="3"/>
      <c r="AC30" s="3"/>
      <c r="AE30" s="3"/>
    </row>
    <row r="31" spans="2:49">
      <c r="Z31" s="3"/>
      <c r="AA31" s="3"/>
      <c r="AB31" s="3"/>
      <c r="AC31" s="3"/>
      <c r="AE31" s="3"/>
    </row>
    <row r="32" spans="2:49">
      <c r="Z32" s="3"/>
      <c r="AA32" s="3"/>
      <c r="AB32" s="3"/>
      <c r="AC32" s="3"/>
      <c r="AE32" s="3"/>
    </row>
    <row r="33" spans="26:31">
      <c r="Z33" s="3"/>
      <c r="AA33" s="3"/>
      <c r="AB33" s="3"/>
      <c r="AC33" s="3"/>
      <c r="AE33" s="3"/>
    </row>
    <row r="34" spans="26:31">
      <c r="Z34" s="3"/>
      <c r="AA34" s="3"/>
      <c r="AB34" s="3"/>
      <c r="AC34" s="3"/>
      <c r="AD34" s="116"/>
      <c r="AE34" s="116"/>
    </row>
    <row r="35" spans="26:31">
      <c r="Z35" s="3"/>
      <c r="AA35" s="3"/>
      <c r="AB35" s="3"/>
      <c r="AC35" s="3"/>
      <c r="AD35" s="7"/>
      <c r="AE35" s="7"/>
    </row>
    <row r="36" spans="26:31">
      <c r="Z36" s="3"/>
      <c r="AA36" s="3"/>
      <c r="AB36" s="3"/>
      <c r="AC36" s="3"/>
      <c r="AD36" s="6"/>
      <c r="AE36" s="3"/>
    </row>
    <row r="37" spans="26:31">
      <c r="Z37" s="3"/>
      <c r="AA37" s="3"/>
      <c r="AB37" s="3"/>
      <c r="AC37" s="3"/>
      <c r="AD37" s="116"/>
      <c r="AE37" s="116"/>
    </row>
    <row r="38" spans="26:31">
      <c r="Z38" s="3"/>
      <c r="AA38" s="3"/>
      <c r="AB38" s="3"/>
      <c r="AC38" s="3"/>
      <c r="AD38" s="116"/>
      <c r="AE38" s="116"/>
    </row>
    <row r="39" spans="26:31">
      <c r="Z39" s="3"/>
      <c r="AA39" s="3"/>
      <c r="AB39" s="3"/>
      <c r="AC39" s="3"/>
      <c r="AD39" s="116"/>
      <c r="AE39" s="116"/>
    </row>
  </sheetData>
  <mergeCells count="37">
    <mergeCell ref="K20:L20"/>
    <mergeCell ref="X20:Y20"/>
    <mergeCell ref="Z20:AA20"/>
    <mergeCell ref="AH20:AI20"/>
    <mergeCell ref="AJ20:AK20"/>
    <mergeCell ref="K19:L19"/>
    <mergeCell ref="X19:Y19"/>
    <mergeCell ref="Z19:AA19"/>
    <mergeCell ref="AH19:AI19"/>
    <mergeCell ref="AJ19:AK19"/>
    <mergeCell ref="K21:L21"/>
    <mergeCell ref="X21:Y21"/>
    <mergeCell ref="Z21:AA21"/>
    <mergeCell ref="AH21:AI21"/>
    <mergeCell ref="AJ21:AK21"/>
    <mergeCell ref="AE24:AF24"/>
    <mergeCell ref="C25:D25"/>
    <mergeCell ref="E25:F25"/>
    <mergeCell ref="H25:I25"/>
    <mergeCell ref="O25:P25"/>
    <mergeCell ref="AC25:AD25"/>
    <mergeCell ref="AE25:AF25"/>
    <mergeCell ref="C24:D24"/>
    <mergeCell ref="E24:F24"/>
    <mergeCell ref="H24:I24"/>
    <mergeCell ref="O24:P24"/>
    <mergeCell ref="AC24:AD24"/>
    <mergeCell ref="AD34:AE34"/>
    <mergeCell ref="AD37:AE37"/>
    <mergeCell ref="AD38:AE38"/>
    <mergeCell ref="AD39:AE39"/>
    <mergeCell ref="C26:D26"/>
    <mergeCell ref="E26:F26"/>
    <mergeCell ref="H26:I26"/>
    <mergeCell ref="O26:P26"/>
    <mergeCell ref="AC26:AD26"/>
    <mergeCell ref="AE26:AF26"/>
  </mergeCells>
  <phoneticPr fontId="3" type="noConversion"/>
  <printOptions horizontalCentered="1"/>
  <pageMargins left="0.31496062992125984" right="0.31496062992125984" top="0.74803149606299213" bottom="0.55118110236220474" header="0.31496062992125984" footer="0.31496062992125984"/>
  <pageSetup paperSize="9" scale="8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44"/>
  <sheetViews>
    <sheetView workbookViewId="0">
      <selection activeCell="M36" sqref="M36"/>
    </sheetView>
  </sheetViews>
  <sheetFormatPr defaultRowHeight="16.2"/>
  <cols>
    <col min="4" max="8" width="8.88671875" style="102"/>
    <col min="20" max="21" width="8.88671875" style="102"/>
  </cols>
  <sheetData>
    <row r="1" spans="1:21">
      <c r="A1" s="129" t="s">
        <v>375</v>
      </c>
      <c r="B1" s="129"/>
      <c r="C1" s="129"/>
      <c r="D1" s="129"/>
      <c r="E1" s="129"/>
      <c r="F1" s="129"/>
      <c r="G1" s="129"/>
      <c r="H1" s="130"/>
      <c r="I1" s="131" t="s">
        <v>376</v>
      </c>
      <c r="J1" s="129"/>
      <c r="K1" s="129"/>
      <c r="L1" s="129"/>
      <c r="M1" s="129"/>
      <c r="N1" s="130"/>
      <c r="O1" s="131" t="s">
        <v>377</v>
      </c>
      <c r="P1" s="129"/>
      <c r="Q1" s="129"/>
      <c r="R1" s="129"/>
      <c r="S1" s="129"/>
      <c r="T1" s="129"/>
      <c r="U1" s="129"/>
    </row>
    <row r="2" spans="1:21">
      <c r="D2" s="102" t="s">
        <v>378</v>
      </c>
      <c r="E2" s="102" t="s">
        <v>379</v>
      </c>
      <c r="F2" s="102" t="s">
        <v>380</v>
      </c>
      <c r="I2" s="103"/>
      <c r="K2" s="102" t="s">
        <v>378</v>
      </c>
      <c r="L2" s="102" t="s">
        <v>379</v>
      </c>
      <c r="M2" t="s">
        <v>380</v>
      </c>
      <c r="N2" s="104"/>
      <c r="Q2" s="102" t="s">
        <v>378</v>
      </c>
      <c r="R2" s="102" t="s">
        <v>379</v>
      </c>
      <c r="S2" s="102" t="s">
        <v>380</v>
      </c>
    </row>
    <row r="3" spans="1:21">
      <c r="A3" t="s">
        <v>381</v>
      </c>
      <c r="C3" t="s">
        <v>382</v>
      </c>
      <c r="H3" s="102" t="s">
        <v>383</v>
      </c>
      <c r="I3" s="103"/>
      <c r="N3" s="104"/>
    </row>
    <row r="4" spans="1:21">
      <c r="I4" s="103"/>
      <c r="N4" s="104"/>
    </row>
    <row r="5" spans="1:21">
      <c r="A5" t="s">
        <v>384</v>
      </c>
      <c r="C5" t="s">
        <v>382</v>
      </c>
      <c r="H5" s="105" t="s">
        <v>385</v>
      </c>
      <c r="I5" s="106" t="s">
        <v>386</v>
      </c>
      <c r="J5" t="s">
        <v>387</v>
      </c>
      <c r="N5" s="107" t="s">
        <v>385</v>
      </c>
    </row>
    <row r="6" spans="1:21">
      <c r="C6" t="s">
        <v>388</v>
      </c>
      <c r="I6" s="103"/>
      <c r="N6" s="104"/>
    </row>
    <row r="7" spans="1:21">
      <c r="I7" s="103"/>
      <c r="N7" s="104"/>
    </row>
    <row r="8" spans="1:21">
      <c r="A8" t="s">
        <v>389</v>
      </c>
      <c r="B8" t="s">
        <v>390</v>
      </c>
      <c r="C8" s="108" t="s">
        <v>391</v>
      </c>
      <c r="D8" s="102">
        <v>1749</v>
      </c>
      <c r="E8" s="102">
        <v>1799</v>
      </c>
      <c r="F8" s="102">
        <f>+E8-D8+1</f>
        <v>51</v>
      </c>
      <c r="H8" s="105" t="s">
        <v>392</v>
      </c>
      <c r="I8" s="103"/>
      <c r="J8" t="s">
        <v>393</v>
      </c>
      <c r="N8" s="107" t="s">
        <v>392</v>
      </c>
    </row>
    <row r="9" spans="1:21">
      <c r="A9" t="s">
        <v>394</v>
      </c>
      <c r="B9" t="s">
        <v>395</v>
      </c>
      <c r="C9" t="s">
        <v>396</v>
      </c>
      <c r="D9" s="109" t="s">
        <v>382</v>
      </c>
      <c r="I9" s="103"/>
      <c r="N9" s="104"/>
    </row>
    <row r="10" spans="1:21">
      <c r="I10" s="103"/>
      <c r="N10" s="104"/>
    </row>
    <row r="11" spans="1:21">
      <c r="A11" t="s">
        <v>397</v>
      </c>
      <c r="C11" t="s">
        <v>398</v>
      </c>
      <c r="D11" s="102">
        <v>1776</v>
      </c>
      <c r="E11" s="102">
        <v>1829</v>
      </c>
      <c r="F11" s="102">
        <f t="shared" ref="F11:F20" si="0">+E11-D11+1</f>
        <v>54</v>
      </c>
      <c r="G11" s="102">
        <f>+D8-D11</f>
        <v>-27</v>
      </c>
      <c r="H11" s="105" t="s">
        <v>399</v>
      </c>
      <c r="I11" s="103"/>
      <c r="J11" t="s">
        <v>400</v>
      </c>
      <c r="K11">
        <v>1796</v>
      </c>
      <c r="L11">
        <f>+K14-K11</f>
        <v>31</v>
      </c>
      <c r="N11" s="107" t="s">
        <v>399</v>
      </c>
    </row>
    <row r="12" spans="1:21">
      <c r="A12" t="s">
        <v>401</v>
      </c>
      <c r="C12" t="s">
        <v>402</v>
      </c>
      <c r="D12" s="102">
        <v>1778</v>
      </c>
      <c r="E12" s="102">
        <v>1840</v>
      </c>
      <c r="F12" s="102">
        <f t="shared" si="0"/>
        <v>63</v>
      </c>
      <c r="I12" s="103"/>
      <c r="N12" s="104"/>
    </row>
    <row r="13" spans="1:21">
      <c r="I13" s="103"/>
      <c r="N13" s="104"/>
    </row>
    <row r="14" spans="1:21">
      <c r="A14" s="110" t="s">
        <v>403</v>
      </c>
      <c r="B14" s="110"/>
      <c r="C14" s="110" t="s">
        <v>404</v>
      </c>
      <c r="D14" s="111">
        <v>1808</v>
      </c>
      <c r="E14" s="112">
        <v>1864</v>
      </c>
      <c r="F14" s="112">
        <f t="shared" si="0"/>
        <v>57</v>
      </c>
      <c r="G14" s="102">
        <f>+D11-D14</f>
        <v>-32</v>
      </c>
      <c r="H14" s="105" t="s">
        <v>405</v>
      </c>
      <c r="I14" s="103"/>
      <c r="J14" t="s">
        <v>406</v>
      </c>
      <c r="K14">
        <v>1827</v>
      </c>
      <c r="L14">
        <f>+K14-K11</f>
        <v>31</v>
      </c>
      <c r="N14" s="107" t="s">
        <v>405</v>
      </c>
      <c r="O14" s="110" t="s">
        <v>407</v>
      </c>
      <c r="P14" s="110" t="s">
        <v>404</v>
      </c>
      <c r="Q14" s="110" t="s">
        <v>407</v>
      </c>
      <c r="R14" s="112">
        <v>1864</v>
      </c>
      <c r="U14" s="109" t="s">
        <v>405</v>
      </c>
    </row>
    <row r="15" spans="1:21">
      <c r="I15" s="103"/>
      <c r="N15" s="104"/>
    </row>
    <row r="16" spans="1:21">
      <c r="A16" s="108" t="s">
        <v>408</v>
      </c>
      <c r="C16" s="108" t="s">
        <v>409</v>
      </c>
      <c r="D16" s="102">
        <v>1812</v>
      </c>
      <c r="E16" s="102">
        <v>1836</v>
      </c>
      <c r="F16" s="102">
        <f t="shared" si="0"/>
        <v>25</v>
      </c>
      <c r="G16" s="102">
        <f>+D11-D16</f>
        <v>-36</v>
      </c>
      <c r="H16" s="105" t="s">
        <v>405</v>
      </c>
      <c r="I16" s="103"/>
      <c r="N16" s="104"/>
    </row>
    <row r="17" spans="1:21">
      <c r="I17" s="103"/>
      <c r="N17" s="107"/>
    </row>
    <row r="18" spans="1:21">
      <c r="A18" s="108" t="s">
        <v>410</v>
      </c>
      <c r="B18" t="s">
        <v>390</v>
      </c>
      <c r="C18" s="113" t="s">
        <v>411</v>
      </c>
      <c r="D18" s="102">
        <v>1820</v>
      </c>
      <c r="E18" s="102">
        <v>1872</v>
      </c>
      <c r="F18" s="102">
        <f t="shared" si="0"/>
        <v>53</v>
      </c>
      <c r="G18" s="102">
        <f>+D11-D18</f>
        <v>-44</v>
      </c>
      <c r="H18" s="105" t="s">
        <v>405</v>
      </c>
      <c r="I18" s="103"/>
      <c r="N18" s="104"/>
    </row>
    <row r="19" spans="1:21">
      <c r="B19" t="s">
        <v>412</v>
      </c>
      <c r="C19" t="s">
        <v>382</v>
      </c>
      <c r="I19" s="103"/>
      <c r="N19" s="107"/>
    </row>
    <row r="20" spans="1:21">
      <c r="B20" t="s">
        <v>413</v>
      </c>
      <c r="C20" t="s">
        <v>414</v>
      </c>
      <c r="D20" s="102">
        <v>1849</v>
      </c>
      <c r="E20" s="102">
        <v>1891</v>
      </c>
      <c r="F20" s="102">
        <f t="shared" si="0"/>
        <v>43</v>
      </c>
      <c r="I20" s="103"/>
      <c r="N20" s="104"/>
    </row>
    <row r="21" spans="1:21">
      <c r="I21" s="103"/>
      <c r="N21" s="104"/>
    </row>
    <row r="22" spans="1:21">
      <c r="I22" s="103"/>
      <c r="N22" s="104"/>
    </row>
    <row r="23" spans="1:21">
      <c r="C23" s="113" t="s">
        <v>415</v>
      </c>
      <c r="D23" s="102">
        <v>1850</v>
      </c>
      <c r="E23" s="102">
        <v>1893</v>
      </c>
      <c r="F23" s="102">
        <f t="shared" ref="F23:F24" si="1">+E23-D23+1</f>
        <v>44</v>
      </c>
      <c r="G23" s="102">
        <f>+D18-D23</f>
        <v>-30</v>
      </c>
      <c r="H23" s="109" t="s">
        <v>416</v>
      </c>
      <c r="I23" s="103" t="s">
        <v>384</v>
      </c>
      <c r="J23" t="s">
        <v>417</v>
      </c>
      <c r="K23">
        <v>1858</v>
      </c>
      <c r="L23">
        <f>+K23-K14</f>
        <v>31</v>
      </c>
      <c r="N23" s="107" t="s">
        <v>416</v>
      </c>
      <c r="P23" t="s">
        <v>418</v>
      </c>
      <c r="Q23">
        <v>1843</v>
      </c>
      <c r="R23">
        <v>1911</v>
      </c>
      <c r="S23" s="102">
        <f>+R23-Q23+1</f>
        <v>69</v>
      </c>
      <c r="U23" s="109" t="s">
        <v>416</v>
      </c>
    </row>
    <row r="24" spans="1:21">
      <c r="C24" s="108" t="s">
        <v>419</v>
      </c>
      <c r="D24" s="102">
        <v>1851</v>
      </c>
      <c r="E24" s="102">
        <v>1881</v>
      </c>
      <c r="F24" s="102">
        <f t="shared" si="1"/>
        <v>31</v>
      </c>
      <c r="I24" s="103"/>
      <c r="J24" t="s">
        <v>420</v>
      </c>
      <c r="K24">
        <v>1892</v>
      </c>
      <c r="L24">
        <f>+K24-K23</f>
        <v>34</v>
      </c>
      <c r="N24" s="104" t="s">
        <v>421</v>
      </c>
    </row>
    <row r="25" spans="1:21">
      <c r="I25" s="103"/>
      <c r="J25" t="s">
        <v>422</v>
      </c>
      <c r="K25">
        <v>1926</v>
      </c>
      <c r="L25">
        <f>+K25-K24</f>
        <v>34</v>
      </c>
      <c r="N25" s="104"/>
    </row>
    <row r="26" spans="1:21">
      <c r="I26" s="103"/>
      <c r="J26" t="s">
        <v>423</v>
      </c>
      <c r="N26" s="104"/>
    </row>
    <row r="27" spans="1:21">
      <c r="C27" s="114" t="s">
        <v>424</v>
      </c>
      <c r="D27" s="102">
        <v>1868</v>
      </c>
      <c r="E27" s="102">
        <v>1919</v>
      </c>
      <c r="F27" s="102">
        <f t="shared" ref="F27" si="2">+E27-D27+1</f>
        <v>52</v>
      </c>
      <c r="G27" s="102">
        <f>+D23-D27</f>
        <v>-18</v>
      </c>
      <c r="H27" s="109" t="s">
        <v>421</v>
      </c>
      <c r="I27" s="103"/>
      <c r="N27" s="104"/>
      <c r="P27" s="108" t="s">
        <v>425</v>
      </c>
      <c r="Q27">
        <v>1884</v>
      </c>
      <c r="R27">
        <v>1910</v>
      </c>
      <c r="S27" s="102">
        <f t="shared" ref="S27" si="3">+R27-Q27+1</f>
        <v>27</v>
      </c>
      <c r="T27" s="102">
        <f>+Q23-Q27</f>
        <v>-41</v>
      </c>
      <c r="U27" s="102" t="s">
        <v>421</v>
      </c>
    </row>
    <row r="28" spans="1:21">
      <c r="I28" s="103"/>
      <c r="N28" s="104"/>
    </row>
    <row r="29" spans="1:21">
      <c r="I29" s="103"/>
      <c r="N29" s="104"/>
    </row>
    <row r="30" spans="1:21">
      <c r="C30" t="s">
        <v>426</v>
      </c>
      <c r="D30" s="102">
        <v>1871</v>
      </c>
      <c r="E30" s="102">
        <v>1948</v>
      </c>
      <c r="F30" s="102">
        <f t="shared" ref="F30:F31" si="4">+E30-D30+1</f>
        <v>78</v>
      </c>
      <c r="G30" s="102">
        <f>+D23-D30</f>
        <v>-21</v>
      </c>
      <c r="H30" s="109" t="s">
        <v>421</v>
      </c>
      <c r="I30" s="103"/>
      <c r="N30" s="104"/>
      <c r="P30" t="s">
        <v>427</v>
      </c>
      <c r="Q30">
        <v>1886</v>
      </c>
      <c r="R30">
        <v>1956</v>
      </c>
      <c r="S30" s="102">
        <f>+R30-Q30+1</f>
        <v>71</v>
      </c>
      <c r="T30" s="102">
        <f>+Q23-Q30</f>
        <v>-43</v>
      </c>
      <c r="U30" s="102" t="s">
        <v>421</v>
      </c>
    </row>
    <row r="31" spans="1:21">
      <c r="C31" t="s">
        <v>428</v>
      </c>
      <c r="D31" s="102">
        <v>1893</v>
      </c>
      <c r="E31" s="102">
        <v>1949</v>
      </c>
      <c r="F31" s="102">
        <f t="shared" si="4"/>
        <v>57</v>
      </c>
      <c r="G31" s="102">
        <f>+D23-D31</f>
        <v>-43</v>
      </c>
      <c r="H31" s="109" t="s">
        <v>421</v>
      </c>
      <c r="I31" s="103"/>
      <c r="N31" s="104"/>
    </row>
    <row r="32" spans="1:21">
      <c r="I32" s="103"/>
      <c r="N32" s="104"/>
    </row>
    <row r="33" spans="9:21">
      <c r="I33" s="103"/>
      <c r="N33" s="104"/>
      <c r="P33" t="s">
        <v>429</v>
      </c>
      <c r="Q33">
        <v>1912</v>
      </c>
      <c r="R33">
        <v>1965</v>
      </c>
      <c r="S33" s="102">
        <f>+R33-Q33+1</f>
        <v>54</v>
      </c>
      <c r="T33" s="102">
        <f>+Q30-Q33</f>
        <v>-26</v>
      </c>
      <c r="U33" s="109" t="s">
        <v>430</v>
      </c>
    </row>
    <row r="34" spans="9:21">
      <c r="I34" s="103"/>
      <c r="N34" s="104"/>
      <c r="P34" t="s">
        <v>431</v>
      </c>
      <c r="Q34">
        <v>1916</v>
      </c>
    </row>
    <row r="35" spans="9:21">
      <c r="I35" s="103" t="s">
        <v>386</v>
      </c>
      <c r="J35" t="s">
        <v>432</v>
      </c>
      <c r="K35">
        <v>1865</v>
      </c>
      <c r="N35" s="107" t="s">
        <v>416</v>
      </c>
      <c r="P35" t="s">
        <v>433</v>
      </c>
      <c r="Q35">
        <v>1919</v>
      </c>
      <c r="R35">
        <v>2000</v>
      </c>
      <c r="S35" s="102">
        <f>+R35-Q35+1</f>
        <v>82</v>
      </c>
    </row>
    <row r="36" spans="9:21">
      <c r="I36" s="103"/>
      <c r="J36" t="s">
        <v>434</v>
      </c>
      <c r="K36">
        <v>1896</v>
      </c>
      <c r="N36" s="104" t="s">
        <v>421</v>
      </c>
      <c r="P36" t="s">
        <v>435</v>
      </c>
      <c r="Q36">
        <v>1922</v>
      </c>
      <c r="R36">
        <v>1953</v>
      </c>
      <c r="S36" s="102">
        <f>+R36-Q36+1</f>
        <v>32</v>
      </c>
    </row>
    <row r="37" spans="9:21">
      <c r="I37" s="103"/>
      <c r="N37" s="104"/>
      <c r="P37" t="s">
        <v>436</v>
      </c>
      <c r="Q37">
        <v>1925</v>
      </c>
      <c r="R37">
        <v>1957</v>
      </c>
      <c r="S37" s="102">
        <f>+R37-Q37+1</f>
        <v>33</v>
      </c>
    </row>
    <row r="38" spans="9:21">
      <c r="I38" s="103"/>
      <c r="N38" s="104"/>
      <c r="P38" t="s">
        <v>437</v>
      </c>
    </row>
    <row r="39" spans="9:21">
      <c r="I39" s="103"/>
      <c r="N39" s="104"/>
      <c r="P39" t="s">
        <v>438</v>
      </c>
      <c r="Q39">
        <v>1933</v>
      </c>
      <c r="R39">
        <v>1980</v>
      </c>
      <c r="S39" s="102">
        <f>+R39-Q39+1</f>
        <v>48</v>
      </c>
    </row>
    <row r="40" spans="9:21">
      <c r="I40" s="103"/>
      <c r="N40" s="104"/>
      <c r="P40" t="s">
        <v>439</v>
      </c>
      <c r="Q40">
        <v>1938</v>
      </c>
      <c r="R40">
        <v>2000</v>
      </c>
      <c r="S40" s="102">
        <f>+R40-Q40+1</f>
        <v>63</v>
      </c>
    </row>
    <row r="41" spans="9:21">
      <c r="I41" s="103"/>
      <c r="N41" s="104"/>
    </row>
    <row r="42" spans="9:21">
      <c r="I42" s="103"/>
      <c r="N42" s="104"/>
      <c r="P42" t="s">
        <v>440</v>
      </c>
      <c r="Q42">
        <v>1940</v>
      </c>
      <c r="U42" s="109" t="s">
        <v>441</v>
      </c>
    </row>
    <row r="43" spans="9:21">
      <c r="I43" s="103"/>
      <c r="N43" s="104"/>
    </row>
    <row r="44" spans="9:21">
      <c r="I44" s="103"/>
      <c r="N44" s="104"/>
      <c r="P44" t="s">
        <v>442</v>
      </c>
      <c r="Q44">
        <v>1973</v>
      </c>
      <c r="U44" s="109" t="s">
        <v>443</v>
      </c>
    </row>
  </sheetData>
  <mergeCells count="3">
    <mergeCell ref="A1:H1"/>
    <mergeCell ref="I1:N1"/>
    <mergeCell ref="O1:U1"/>
  </mergeCells>
  <phoneticPr fontId="3" type="noConversion"/>
  <pageMargins left="0.11811023622047245" right="0.11811023622047245" top="0.15748031496062992" bottom="0" header="0.31496062992125984" footer="0.31496062992125984"/>
  <pageSetup paperSize="9" scale="77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12</vt:i4>
      </vt:variant>
    </vt:vector>
  </HeadingPairs>
  <TitlesOfParts>
    <vt:vector size="24" baseType="lpstr">
      <vt:lpstr>總彙整-A3</vt:lpstr>
      <vt:lpstr>總彙整-A4</vt:lpstr>
      <vt:lpstr>鍾仁-頂番婆</vt:lpstr>
      <vt:lpstr>鍾春</vt:lpstr>
      <vt:lpstr>1鐘吉</vt:lpstr>
      <vt:lpstr>鐘心婦-1</vt:lpstr>
      <vt:lpstr>鐘心婦-2</vt:lpstr>
      <vt:lpstr>2鐘仁德</vt:lpstr>
      <vt:lpstr>鐘成嘉</vt:lpstr>
      <vt:lpstr>鐘義</vt:lpstr>
      <vt:lpstr>鐘禮</vt:lpstr>
      <vt:lpstr>年代換算</vt:lpstr>
      <vt:lpstr>'1鐘吉'!Print_Area</vt:lpstr>
      <vt:lpstr>'2鐘仁德'!Print_Area</vt:lpstr>
      <vt:lpstr>年代換算!Print_Area</vt:lpstr>
      <vt:lpstr>'總彙整-A3'!Print_Area</vt:lpstr>
      <vt:lpstr>'總彙整-A4'!Print_Area</vt:lpstr>
      <vt:lpstr>'鍾仁-頂番婆'!Print_Area</vt:lpstr>
      <vt:lpstr>鍾春!Print_Area</vt:lpstr>
      <vt:lpstr>'鐘心婦-1'!Print_Area</vt:lpstr>
      <vt:lpstr>'鐘心婦-2'!Print_Area</vt:lpstr>
      <vt:lpstr>鐘成嘉!Print_Area</vt:lpstr>
      <vt:lpstr>鐘義!Print_Area</vt:lpstr>
      <vt:lpstr>鐘禮!Print_Area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2019-11-27T16:44:02Z</dcterms:modified>
</cp:coreProperties>
</file>